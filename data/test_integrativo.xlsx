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rerea\VR_Navigation\VR_Navigation\Assets\PedPy\"/>
    </mc:Choice>
  </mc:AlternateContent>
  <xr:revisionPtr revIDLastSave="0" documentId="11_4CC10D5F3CD291513FBAF52E3486D68CB8C46B68" xr6:coauthVersionLast="47" xr6:coauthVersionMax="47" xr10:uidLastSave="{00000000-0000-0000-0000-000000000000}"/>
  <bookViews>
    <workbookView xWindow="-98" yWindow="-98" windowWidth="38596" windowHeight="21196" tabRatio="500" xr2:uid="{00000000-000D-0000-FFFF-FFFF00000000}"/>
  </bookViews>
  <sheets>
    <sheet name="Test Completo" sheetId="1" r:id="rId1"/>
    <sheet name="Riepilogo" sheetId="2" r:id="rId2"/>
    <sheet name="Piano del test" sheetId="3" r:id="rId3"/>
    <sheet name="Calcol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4" l="1"/>
  <c r="G181" i="4"/>
  <c r="F181" i="4"/>
  <c r="E181" i="4"/>
  <c r="D181" i="4"/>
  <c r="C181" i="4"/>
  <c r="A181" i="4"/>
  <c r="H180" i="4"/>
  <c r="G180" i="4"/>
  <c r="F180" i="4"/>
  <c r="E180" i="4"/>
  <c r="D180" i="4"/>
  <c r="C180" i="4"/>
  <c r="A180" i="4"/>
  <c r="H179" i="4"/>
  <c r="G179" i="4"/>
  <c r="F179" i="4"/>
  <c r="E179" i="4"/>
  <c r="D179" i="4"/>
  <c r="C179" i="4"/>
  <c r="A179" i="4"/>
  <c r="H178" i="4"/>
  <c r="G178" i="4"/>
  <c r="F178" i="4"/>
  <c r="E178" i="4"/>
  <c r="D178" i="4"/>
  <c r="C178" i="4"/>
  <c r="A178" i="4"/>
  <c r="H177" i="4"/>
  <c r="G177" i="4"/>
  <c r="F177" i="4"/>
  <c r="E177" i="4"/>
  <c r="D177" i="4"/>
  <c r="C177" i="4"/>
  <c r="A177" i="4"/>
  <c r="J176" i="4"/>
  <c r="I176" i="4"/>
  <c r="H176" i="4"/>
  <c r="G176" i="4"/>
  <c r="F176" i="4"/>
  <c r="E176" i="4"/>
  <c r="D176" i="4"/>
  <c r="C176" i="4"/>
  <c r="A176" i="4"/>
  <c r="H175" i="4"/>
  <c r="G175" i="4"/>
  <c r="F175" i="4"/>
  <c r="E175" i="4"/>
  <c r="D175" i="4"/>
  <c r="C175" i="4"/>
  <c r="A175" i="4"/>
  <c r="H174" i="4"/>
  <c r="G174" i="4"/>
  <c r="F174" i="4"/>
  <c r="E174" i="4"/>
  <c r="D174" i="4"/>
  <c r="C174" i="4"/>
  <c r="A174" i="4"/>
  <c r="H173" i="4"/>
  <c r="G173" i="4"/>
  <c r="F173" i="4"/>
  <c r="E173" i="4"/>
  <c r="D173" i="4"/>
  <c r="C173" i="4"/>
  <c r="A173" i="4"/>
  <c r="H172" i="4"/>
  <c r="G172" i="4"/>
  <c r="F172" i="4"/>
  <c r="E172" i="4"/>
  <c r="D172" i="4"/>
  <c r="C172" i="4"/>
  <c r="A172" i="4"/>
  <c r="H171" i="4"/>
  <c r="G171" i="4"/>
  <c r="F171" i="4"/>
  <c r="E171" i="4"/>
  <c r="D171" i="4"/>
  <c r="C171" i="4"/>
  <c r="A171" i="4"/>
  <c r="H170" i="4"/>
  <c r="G170" i="4"/>
  <c r="F170" i="4"/>
  <c r="E170" i="4"/>
  <c r="D170" i="4"/>
  <c r="C170" i="4"/>
  <c r="A170" i="4"/>
  <c r="H169" i="4"/>
  <c r="G169" i="4"/>
  <c r="F169" i="4"/>
  <c r="E169" i="4"/>
  <c r="D169" i="4"/>
  <c r="C169" i="4"/>
  <c r="A169" i="4"/>
  <c r="H168" i="4"/>
  <c r="G168" i="4"/>
  <c r="F168" i="4"/>
  <c r="E168" i="4"/>
  <c r="D168" i="4"/>
  <c r="C168" i="4"/>
  <c r="A168" i="4"/>
  <c r="H167" i="4"/>
  <c r="G167" i="4"/>
  <c r="F167" i="4"/>
  <c r="E167" i="4"/>
  <c r="D167" i="4"/>
  <c r="C167" i="4"/>
  <c r="A167" i="4"/>
  <c r="H166" i="4"/>
  <c r="G166" i="4"/>
  <c r="F166" i="4"/>
  <c r="E166" i="4"/>
  <c r="D166" i="4"/>
  <c r="C166" i="4"/>
  <c r="A166" i="4"/>
  <c r="H165" i="4"/>
  <c r="G165" i="4"/>
  <c r="F165" i="4"/>
  <c r="E165" i="4"/>
  <c r="D165" i="4"/>
  <c r="C165" i="4"/>
  <c r="A165" i="4"/>
  <c r="H164" i="4"/>
  <c r="G164" i="4"/>
  <c r="F164" i="4"/>
  <c r="E164" i="4"/>
  <c r="D164" i="4"/>
  <c r="C164" i="4"/>
  <c r="A164" i="4"/>
  <c r="H163" i="4"/>
  <c r="G163" i="4"/>
  <c r="F163" i="4"/>
  <c r="E163" i="4"/>
  <c r="D163" i="4"/>
  <c r="C163" i="4"/>
  <c r="A163" i="4"/>
  <c r="H162" i="4"/>
  <c r="G162" i="4"/>
  <c r="F162" i="4"/>
  <c r="E162" i="4"/>
  <c r="D162" i="4"/>
  <c r="C162" i="4"/>
  <c r="A162" i="4"/>
  <c r="H161" i="4"/>
  <c r="G161" i="4"/>
  <c r="F161" i="4"/>
  <c r="E161" i="4"/>
  <c r="D161" i="4"/>
  <c r="C161" i="4"/>
  <c r="A161" i="4"/>
  <c r="H160" i="4"/>
  <c r="G160" i="4"/>
  <c r="F160" i="4"/>
  <c r="E160" i="4"/>
  <c r="D160" i="4"/>
  <c r="C160" i="4"/>
  <c r="A160" i="4"/>
  <c r="H159" i="4"/>
  <c r="G159" i="4"/>
  <c r="F159" i="4"/>
  <c r="E159" i="4"/>
  <c r="D159" i="4"/>
  <c r="C159" i="4"/>
  <c r="A159" i="4"/>
  <c r="H158" i="4"/>
  <c r="G158" i="4"/>
  <c r="F158" i="4"/>
  <c r="E158" i="4"/>
  <c r="D158" i="4"/>
  <c r="C158" i="4"/>
  <c r="A158" i="4"/>
  <c r="H157" i="4"/>
  <c r="G157" i="4"/>
  <c r="F157" i="4"/>
  <c r="E157" i="4"/>
  <c r="D157" i="4"/>
  <c r="C157" i="4"/>
  <c r="A157" i="4"/>
  <c r="H156" i="4"/>
  <c r="G156" i="4"/>
  <c r="F156" i="4"/>
  <c r="E156" i="4"/>
  <c r="D156" i="4"/>
  <c r="C156" i="4"/>
  <c r="A156" i="4"/>
  <c r="H155" i="4"/>
  <c r="G155" i="4"/>
  <c r="F155" i="4"/>
  <c r="E155" i="4"/>
  <c r="D155" i="4"/>
  <c r="C155" i="4"/>
  <c r="A155" i="4"/>
  <c r="H154" i="4"/>
  <c r="G154" i="4"/>
  <c r="F154" i="4"/>
  <c r="E154" i="4"/>
  <c r="D154" i="4"/>
  <c r="C154" i="4"/>
  <c r="A154" i="4"/>
  <c r="H153" i="4"/>
  <c r="G153" i="4"/>
  <c r="F153" i="4"/>
  <c r="E153" i="4"/>
  <c r="D153" i="4"/>
  <c r="C153" i="4"/>
  <c r="A153" i="4"/>
  <c r="H152" i="4"/>
  <c r="G152" i="4"/>
  <c r="F152" i="4"/>
  <c r="E152" i="4"/>
  <c r="D152" i="4"/>
  <c r="C152" i="4"/>
  <c r="A152" i="4"/>
  <c r="H151" i="4"/>
  <c r="G151" i="4"/>
  <c r="F151" i="4"/>
  <c r="E151" i="4"/>
  <c r="D151" i="4"/>
  <c r="C151" i="4"/>
  <c r="A151" i="4"/>
  <c r="H150" i="4"/>
  <c r="G150" i="4"/>
  <c r="F150" i="4"/>
  <c r="E150" i="4"/>
  <c r="D150" i="4"/>
  <c r="C150" i="4"/>
  <c r="A150" i="4"/>
  <c r="H149" i="4"/>
  <c r="G149" i="4"/>
  <c r="F149" i="4"/>
  <c r="E149" i="4"/>
  <c r="D149" i="4"/>
  <c r="C149" i="4"/>
  <c r="A149" i="4"/>
  <c r="H148" i="4"/>
  <c r="G148" i="4"/>
  <c r="F148" i="4"/>
  <c r="E148" i="4"/>
  <c r="D148" i="4"/>
  <c r="C148" i="4"/>
  <c r="A148" i="4"/>
  <c r="H147" i="4"/>
  <c r="G147" i="4"/>
  <c r="F147" i="4"/>
  <c r="E147" i="4"/>
  <c r="D147" i="4"/>
  <c r="C147" i="4"/>
  <c r="A147" i="4"/>
  <c r="H146" i="4"/>
  <c r="G146" i="4"/>
  <c r="F146" i="4"/>
  <c r="E146" i="4"/>
  <c r="D146" i="4"/>
  <c r="C146" i="4"/>
  <c r="A146" i="4"/>
  <c r="H145" i="4"/>
  <c r="G145" i="4"/>
  <c r="F145" i="4"/>
  <c r="E145" i="4"/>
  <c r="D145" i="4"/>
  <c r="C145" i="4"/>
  <c r="A145" i="4"/>
  <c r="H144" i="4"/>
  <c r="G144" i="4"/>
  <c r="F144" i="4"/>
  <c r="E144" i="4"/>
  <c r="D144" i="4"/>
  <c r="C144" i="4"/>
  <c r="A144" i="4"/>
  <c r="H143" i="4"/>
  <c r="G143" i="4"/>
  <c r="F143" i="4"/>
  <c r="E143" i="4"/>
  <c r="D143" i="4"/>
  <c r="C143" i="4"/>
  <c r="A143" i="4"/>
  <c r="J142" i="4"/>
  <c r="I142" i="4"/>
  <c r="H142" i="4"/>
  <c r="G142" i="4"/>
  <c r="F142" i="4"/>
  <c r="E142" i="4"/>
  <c r="D142" i="4"/>
  <c r="C142" i="4"/>
  <c r="A142" i="4"/>
  <c r="H141" i="4"/>
  <c r="G141" i="4"/>
  <c r="F141" i="4"/>
  <c r="E141" i="4"/>
  <c r="D141" i="4"/>
  <c r="C141" i="4"/>
  <c r="A141" i="4"/>
  <c r="H140" i="4"/>
  <c r="G140" i="4"/>
  <c r="F140" i="4"/>
  <c r="E140" i="4"/>
  <c r="D140" i="4"/>
  <c r="C140" i="4"/>
  <c r="A140" i="4"/>
  <c r="H139" i="4"/>
  <c r="G139" i="4"/>
  <c r="F139" i="4"/>
  <c r="E139" i="4"/>
  <c r="D139" i="4"/>
  <c r="C139" i="4"/>
  <c r="A139" i="4"/>
  <c r="H138" i="4"/>
  <c r="G138" i="4"/>
  <c r="F138" i="4"/>
  <c r="E138" i="4"/>
  <c r="D138" i="4"/>
  <c r="C138" i="4"/>
  <c r="A138" i="4"/>
  <c r="H137" i="4"/>
  <c r="G137" i="4"/>
  <c r="F137" i="4"/>
  <c r="E137" i="4"/>
  <c r="D137" i="4"/>
  <c r="C137" i="4"/>
  <c r="A137" i="4"/>
  <c r="H136" i="4"/>
  <c r="G136" i="4"/>
  <c r="F136" i="4"/>
  <c r="E136" i="4"/>
  <c r="D136" i="4"/>
  <c r="C136" i="4"/>
  <c r="A136" i="4"/>
  <c r="H135" i="4"/>
  <c r="G135" i="4"/>
  <c r="F135" i="4"/>
  <c r="E135" i="4"/>
  <c r="D135" i="4"/>
  <c r="C135" i="4"/>
  <c r="A135" i="4"/>
  <c r="H134" i="4"/>
  <c r="G134" i="4"/>
  <c r="F134" i="4"/>
  <c r="E134" i="4"/>
  <c r="D134" i="4"/>
  <c r="C134" i="4"/>
  <c r="A134" i="4"/>
  <c r="H133" i="4"/>
  <c r="G133" i="4"/>
  <c r="F133" i="4"/>
  <c r="E133" i="4"/>
  <c r="D133" i="4"/>
  <c r="C133" i="4"/>
  <c r="A133" i="4"/>
  <c r="H132" i="4"/>
  <c r="G132" i="4"/>
  <c r="F132" i="4"/>
  <c r="E132" i="4"/>
  <c r="D132" i="4"/>
  <c r="C132" i="4"/>
  <c r="A132" i="4"/>
  <c r="H131" i="4"/>
  <c r="G131" i="4"/>
  <c r="F131" i="4"/>
  <c r="E131" i="4"/>
  <c r="D131" i="4"/>
  <c r="C131" i="4"/>
  <c r="A131" i="4"/>
  <c r="H130" i="4"/>
  <c r="G130" i="4"/>
  <c r="F130" i="4"/>
  <c r="E130" i="4"/>
  <c r="D130" i="4"/>
  <c r="C130" i="4"/>
  <c r="A130" i="4"/>
  <c r="H129" i="4"/>
  <c r="G129" i="4"/>
  <c r="F129" i="4"/>
  <c r="E129" i="4"/>
  <c r="D129" i="4"/>
  <c r="C129" i="4"/>
  <c r="A129" i="4"/>
  <c r="J128" i="4"/>
  <c r="I128" i="4"/>
  <c r="H128" i="4"/>
  <c r="G128" i="4"/>
  <c r="F128" i="4"/>
  <c r="E128" i="4"/>
  <c r="D128" i="4"/>
  <c r="C128" i="4"/>
  <c r="A128" i="4"/>
  <c r="H127" i="4"/>
  <c r="G127" i="4"/>
  <c r="F127" i="4"/>
  <c r="E127" i="4"/>
  <c r="D127" i="4"/>
  <c r="C127" i="4"/>
  <c r="A127" i="4"/>
  <c r="J126" i="4"/>
  <c r="I126" i="4"/>
  <c r="H126" i="4"/>
  <c r="G126" i="4"/>
  <c r="F126" i="4"/>
  <c r="E126" i="4"/>
  <c r="D126" i="4"/>
  <c r="C126" i="4"/>
  <c r="A126" i="4"/>
  <c r="H125" i="4"/>
  <c r="G125" i="4"/>
  <c r="F125" i="4"/>
  <c r="E125" i="4"/>
  <c r="D125" i="4"/>
  <c r="C125" i="4"/>
  <c r="A125" i="4"/>
  <c r="J124" i="4"/>
  <c r="I124" i="4"/>
  <c r="H124" i="4"/>
  <c r="G124" i="4"/>
  <c r="F124" i="4"/>
  <c r="E124" i="4"/>
  <c r="D124" i="4"/>
  <c r="C124" i="4"/>
  <c r="A124" i="4"/>
  <c r="H123" i="4"/>
  <c r="G123" i="4"/>
  <c r="F123" i="4"/>
  <c r="E123" i="4"/>
  <c r="D123" i="4"/>
  <c r="C123" i="4"/>
  <c r="A123" i="4"/>
  <c r="H122" i="4"/>
  <c r="G122" i="4"/>
  <c r="F122" i="4"/>
  <c r="E122" i="4"/>
  <c r="D122" i="4"/>
  <c r="C122" i="4"/>
  <c r="A122" i="4"/>
  <c r="H121" i="4"/>
  <c r="G121" i="4"/>
  <c r="F121" i="4"/>
  <c r="E121" i="4"/>
  <c r="D121" i="4"/>
  <c r="C121" i="4"/>
  <c r="A121" i="4"/>
  <c r="H120" i="4"/>
  <c r="G120" i="4"/>
  <c r="F120" i="4"/>
  <c r="E120" i="4"/>
  <c r="D120" i="4"/>
  <c r="C120" i="4"/>
  <c r="A120" i="4"/>
  <c r="H119" i="4"/>
  <c r="G119" i="4"/>
  <c r="F119" i="4"/>
  <c r="E119" i="4"/>
  <c r="D119" i="4"/>
  <c r="C119" i="4"/>
  <c r="A119" i="4"/>
  <c r="H118" i="4"/>
  <c r="G118" i="4"/>
  <c r="F118" i="4"/>
  <c r="E118" i="4"/>
  <c r="D118" i="4"/>
  <c r="C118" i="4"/>
  <c r="A118" i="4"/>
  <c r="H117" i="4"/>
  <c r="G117" i="4"/>
  <c r="F117" i="4"/>
  <c r="E117" i="4"/>
  <c r="D117" i="4"/>
  <c r="C117" i="4"/>
  <c r="A117" i="4"/>
  <c r="H116" i="4"/>
  <c r="G116" i="4"/>
  <c r="F116" i="4"/>
  <c r="E116" i="4"/>
  <c r="D116" i="4"/>
  <c r="C116" i="4"/>
  <c r="A116" i="4"/>
  <c r="H115" i="4"/>
  <c r="G115" i="4"/>
  <c r="F115" i="4"/>
  <c r="E115" i="4"/>
  <c r="D115" i="4"/>
  <c r="C115" i="4"/>
  <c r="A115" i="4"/>
  <c r="H114" i="4"/>
  <c r="G114" i="4"/>
  <c r="F114" i="4"/>
  <c r="E114" i="4"/>
  <c r="D114" i="4"/>
  <c r="C114" i="4"/>
  <c r="A114" i="4"/>
  <c r="H113" i="4"/>
  <c r="G113" i="4"/>
  <c r="F113" i="4"/>
  <c r="E113" i="4"/>
  <c r="D113" i="4"/>
  <c r="C113" i="4"/>
  <c r="A113" i="4"/>
  <c r="H112" i="4"/>
  <c r="G112" i="4"/>
  <c r="F112" i="4"/>
  <c r="E112" i="4"/>
  <c r="D112" i="4"/>
  <c r="C112" i="4"/>
  <c r="A112" i="4"/>
  <c r="H111" i="4"/>
  <c r="G111" i="4"/>
  <c r="F111" i="4"/>
  <c r="E111" i="4"/>
  <c r="D111" i="4"/>
  <c r="C111" i="4"/>
  <c r="A111" i="4"/>
  <c r="H110" i="4"/>
  <c r="G110" i="4"/>
  <c r="F110" i="4"/>
  <c r="E110" i="4"/>
  <c r="D110" i="4"/>
  <c r="C110" i="4"/>
  <c r="A110" i="4"/>
  <c r="H109" i="4"/>
  <c r="G109" i="4"/>
  <c r="F109" i="4"/>
  <c r="E109" i="4"/>
  <c r="D109" i="4"/>
  <c r="C109" i="4"/>
  <c r="A109" i="4"/>
  <c r="H108" i="4"/>
  <c r="G108" i="4"/>
  <c r="F108" i="4"/>
  <c r="E108" i="4"/>
  <c r="D108" i="4"/>
  <c r="C108" i="4"/>
  <c r="A108" i="4"/>
  <c r="H107" i="4"/>
  <c r="G107" i="4"/>
  <c r="F107" i="4"/>
  <c r="E107" i="4"/>
  <c r="D107" i="4"/>
  <c r="C107" i="4"/>
  <c r="A107" i="4"/>
  <c r="H106" i="4"/>
  <c r="G106" i="4"/>
  <c r="F106" i="4"/>
  <c r="E106" i="4"/>
  <c r="D106" i="4"/>
  <c r="C106" i="4"/>
  <c r="A106" i="4"/>
  <c r="H105" i="4"/>
  <c r="G105" i="4"/>
  <c r="F105" i="4"/>
  <c r="E105" i="4"/>
  <c r="D105" i="4"/>
  <c r="C105" i="4"/>
  <c r="A105" i="4"/>
  <c r="H104" i="4"/>
  <c r="G104" i="4"/>
  <c r="F104" i="4"/>
  <c r="E104" i="4"/>
  <c r="D104" i="4"/>
  <c r="C104" i="4"/>
  <c r="A104" i="4"/>
  <c r="H103" i="4"/>
  <c r="G103" i="4"/>
  <c r="F103" i="4"/>
  <c r="E103" i="4"/>
  <c r="D103" i="4"/>
  <c r="C103" i="4"/>
  <c r="A103" i="4"/>
  <c r="H102" i="4"/>
  <c r="G102" i="4"/>
  <c r="F102" i="4"/>
  <c r="E102" i="4"/>
  <c r="D102" i="4"/>
  <c r="C102" i="4"/>
  <c r="A102" i="4"/>
  <c r="H101" i="4"/>
  <c r="G101" i="4"/>
  <c r="F101" i="4"/>
  <c r="E101" i="4"/>
  <c r="D101" i="4"/>
  <c r="C101" i="4"/>
  <c r="A101" i="4"/>
  <c r="H100" i="4"/>
  <c r="G100" i="4"/>
  <c r="F100" i="4"/>
  <c r="E100" i="4"/>
  <c r="D100" i="4"/>
  <c r="C100" i="4"/>
  <c r="A100" i="4"/>
  <c r="H99" i="4"/>
  <c r="G99" i="4"/>
  <c r="F99" i="4"/>
  <c r="E99" i="4"/>
  <c r="D99" i="4"/>
  <c r="C99" i="4"/>
  <c r="A99" i="4"/>
  <c r="H98" i="4"/>
  <c r="G98" i="4"/>
  <c r="F98" i="4"/>
  <c r="E98" i="4"/>
  <c r="D98" i="4"/>
  <c r="C98" i="4"/>
  <c r="A98" i="4"/>
  <c r="H97" i="4"/>
  <c r="G97" i="4"/>
  <c r="F97" i="4"/>
  <c r="E97" i="4"/>
  <c r="D97" i="4"/>
  <c r="C97" i="4"/>
  <c r="A97" i="4"/>
  <c r="H96" i="4"/>
  <c r="G96" i="4"/>
  <c r="F96" i="4"/>
  <c r="E96" i="4"/>
  <c r="D96" i="4"/>
  <c r="C96" i="4"/>
  <c r="A96" i="4"/>
  <c r="H95" i="4"/>
  <c r="G95" i="4"/>
  <c r="F95" i="4"/>
  <c r="E95" i="4"/>
  <c r="D95" i="4"/>
  <c r="C95" i="4"/>
  <c r="A95" i="4"/>
  <c r="H94" i="4"/>
  <c r="G94" i="4"/>
  <c r="F94" i="4"/>
  <c r="E94" i="4"/>
  <c r="D94" i="4"/>
  <c r="C94" i="4"/>
  <c r="A94" i="4"/>
  <c r="H93" i="4"/>
  <c r="G93" i="4"/>
  <c r="F93" i="4"/>
  <c r="E93" i="4"/>
  <c r="D93" i="4"/>
  <c r="C93" i="4"/>
  <c r="A93" i="4"/>
  <c r="H92" i="4"/>
  <c r="G92" i="4"/>
  <c r="F92" i="4"/>
  <c r="E92" i="4"/>
  <c r="D92" i="4"/>
  <c r="C92" i="4"/>
  <c r="A92" i="4"/>
  <c r="H91" i="4"/>
  <c r="G91" i="4"/>
  <c r="F91" i="4"/>
  <c r="E91" i="4"/>
  <c r="D91" i="4"/>
  <c r="C91" i="4"/>
  <c r="A91" i="4"/>
  <c r="J90" i="4"/>
  <c r="I90" i="4"/>
  <c r="H90" i="4"/>
  <c r="G90" i="4"/>
  <c r="F90" i="4"/>
  <c r="E90" i="4"/>
  <c r="D90" i="4"/>
  <c r="C90" i="4"/>
  <c r="A90" i="4"/>
  <c r="H89" i="4"/>
  <c r="G89" i="4"/>
  <c r="F89" i="4"/>
  <c r="E89" i="4"/>
  <c r="D89" i="4"/>
  <c r="C89" i="4"/>
  <c r="A89" i="4"/>
  <c r="H88" i="4"/>
  <c r="G88" i="4"/>
  <c r="F88" i="4"/>
  <c r="E88" i="4"/>
  <c r="D88" i="4"/>
  <c r="C88" i="4"/>
  <c r="A88" i="4"/>
  <c r="H87" i="4"/>
  <c r="G87" i="4"/>
  <c r="F87" i="4"/>
  <c r="E87" i="4"/>
  <c r="D87" i="4"/>
  <c r="C87" i="4"/>
  <c r="A87" i="4"/>
  <c r="H86" i="4"/>
  <c r="G86" i="4"/>
  <c r="F86" i="4"/>
  <c r="E86" i="4"/>
  <c r="D86" i="4"/>
  <c r="C86" i="4"/>
  <c r="A86" i="4"/>
  <c r="H85" i="4"/>
  <c r="G85" i="4"/>
  <c r="F85" i="4"/>
  <c r="E85" i="4"/>
  <c r="D85" i="4"/>
  <c r="C85" i="4"/>
  <c r="A85" i="4"/>
  <c r="H84" i="4"/>
  <c r="G84" i="4"/>
  <c r="F84" i="4"/>
  <c r="E84" i="4"/>
  <c r="D84" i="4"/>
  <c r="C84" i="4"/>
  <c r="A84" i="4"/>
  <c r="H83" i="4"/>
  <c r="G83" i="4"/>
  <c r="F83" i="4"/>
  <c r="E83" i="4"/>
  <c r="D83" i="4"/>
  <c r="C83" i="4"/>
  <c r="A83" i="4"/>
  <c r="H82" i="4"/>
  <c r="G82" i="4"/>
  <c r="F82" i="4"/>
  <c r="E82" i="4"/>
  <c r="D82" i="4"/>
  <c r="C82" i="4"/>
  <c r="A82" i="4"/>
  <c r="J81" i="4"/>
  <c r="I81" i="4"/>
  <c r="H81" i="4"/>
  <c r="G81" i="4"/>
  <c r="F81" i="4"/>
  <c r="E81" i="4"/>
  <c r="D81" i="4"/>
  <c r="C81" i="4"/>
  <c r="A81" i="4"/>
  <c r="H80" i="4"/>
  <c r="G80" i="4"/>
  <c r="F80" i="4"/>
  <c r="E80" i="4"/>
  <c r="D80" i="4"/>
  <c r="C80" i="4"/>
  <c r="A80" i="4"/>
  <c r="H79" i="4"/>
  <c r="G79" i="4"/>
  <c r="F79" i="4"/>
  <c r="E79" i="4"/>
  <c r="D79" i="4"/>
  <c r="C79" i="4"/>
  <c r="A79" i="4"/>
  <c r="H78" i="4"/>
  <c r="G78" i="4"/>
  <c r="F78" i="4"/>
  <c r="E78" i="4"/>
  <c r="D78" i="4"/>
  <c r="C78" i="4"/>
  <c r="A78" i="4"/>
  <c r="H77" i="4"/>
  <c r="G77" i="4"/>
  <c r="F77" i="4"/>
  <c r="E77" i="4"/>
  <c r="D77" i="4"/>
  <c r="C77" i="4"/>
  <c r="A77" i="4"/>
  <c r="H76" i="4"/>
  <c r="G76" i="4"/>
  <c r="F76" i="4"/>
  <c r="E76" i="4"/>
  <c r="D76" i="4"/>
  <c r="C76" i="4"/>
  <c r="A76" i="4"/>
  <c r="H75" i="4"/>
  <c r="G75" i="4"/>
  <c r="F75" i="4"/>
  <c r="E75" i="4"/>
  <c r="D75" i="4"/>
  <c r="C75" i="4"/>
  <c r="A75" i="4"/>
  <c r="H74" i="4"/>
  <c r="G74" i="4"/>
  <c r="F74" i="4"/>
  <c r="E74" i="4"/>
  <c r="D74" i="4"/>
  <c r="C74" i="4"/>
  <c r="A74" i="4"/>
  <c r="H73" i="4"/>
  <c r="G73" i="4"/>
  <c r="F73" i="4"/>
  <c r="E73" i="4"/>
  <c r="D73" i="4"/>
  <c r="C73" i="4"/>
  <c r="A73" i="4"/>
  <c r="H72" i="4"/>
  <c r="G72" i="4"/>
  <c r="F72" i="4"/>
  <c r="E72" i="4"/>
  <c r="D72" i="4"/>
  <c r="C72" i="4"/>
  <c r="A72" i="4"/>
  <c r="H71" i="4"/>
  <c r="G71" i="4"/>
  <c r="F71" i="4"/>
  <c r="E71" i="4"/>
  <c r="D71" i="4"/>
  <c r="C71" i="4"/>
  <c r="A71" i="4"/>
  <c r="H70" i="4"/>
  <c r="G70" i="4"/>
  <c r="F70" i="4"/>
  <c r="E70" i="4"/>
  <c r="D70" i="4"/>
  <c r="C70" i="4"/>
  <c r="A70" i="4"/>
  <c r="H69" i="4"/>
  <c r="G69" i="4"/>
  <c r="F69" i="4"/>
  <c r="E69" i="4"/>
  <c r="D69" i="4"/>
  <c r="C69" i="4"/>
  <c r="A69" i="4"/>
  <c r="H68" i="4"/>
  <c r="G68" i="4"/>
  <c r="F68" i="4"/>
  <c r="E68" i="4"/>
  <c r="D68" i="4"/>
  <c r="C68" i="4"/>
  <c r="A68" i="4"/>
  <c r="H67" i="4"/>
  <c r="G67" i="4"/>
  <c r="F67" i="4"/>
  <c r="E67" i="4"/>
  <c r="D67" i="4"/>
  <c r="C67" i="4"/>
  <c r="A67" i="4"/>
  <c r="H66" i="4"/>
  <c r="G66" i="4"/>
  <c r="F66" i="4"/>
  <c r="E66" i="4"/>
  <c r="D66" i="4"/>
  <c r="C66" i="4"/>
  <c r="A66" i="4"/>
  <c r="J65" i="4"/>
  <c r="I65" i="4"/>
  <c r="H65" i="4"/>
  <c r="G65" i="4"/>
  <c r="F65" i="4"/>
  <c r="E65" i="4"/>
  <c r="D65" i="4"/>
  <c r="C65" i="4"/>
  <c r="A65" i="4"/>
  <c r="H64" i="4"/>
  <c r="G64" i="4"/>
  <c r="F64" i="4"/>
  <c r="E64" i="4"/>
  <c r="D64" i="4"/>
  <c r="C64" i="4"/>
  <c r="A64" i="4"/>
  <c r="H63" i="4"/>
  <c r="G63" i="4"/>
  <c r="F63" i="4"/>
  <c r="E63" i="4"/>
  <c r="D63" i="4"/>
  <c r="C63" i="4"/>
  <c r="A63" i="4"/>
  <c r="H62" i="4"/>
  <c r="G62" i="4"/>
  <c r="F62" i="4"/>
  <c r="E62" i="4"/>
  <c r="D62" i="4"/>
  <c r="C62" i="4"/>
  <c r="A62" i="4"/>
  <c r="H61" i="4"/>
  <c r="G61" i="4"/>
  <c r="F61" i="4"/>
  <c r="E61" i="4"/>
  <c r="D61" i="4"/>
  <c r="C61" i="4"/>
  <c r="A61" i="4"/>
  <c r="H60" i="4"/>
  <c r="G60" i="4"/>
  <c r="F60" i="4"/>
  <c r="E60" i="4"/>
  <c r="D60" i="4"/>
  <c r="C60" i="4"/>
  <c r="A60" i="4"/>
  <c r="H59" i="4"/>
  <c r="G59" i="4"/>
  <c r="F59" i="4"/>
  <c r="E59" i="4"/>
  <c r="D59" i="4"/>
  <c r="C59" i="4"/>
  <c r="A59" i="4"/>
  <c r="H58" i="4"/>
  <c r="G58" i="4"/>
  <c r="F58" i="4"/>
  <c r="E58" i="4"/>
  <c r="D58" i="4"/>
  <c r="C58" i="4"/>
  <c r="A58" i="4"/>
  <c r="H57" i="4"/>
  <c r="G57" i="4"/>
  <c r="F57" i="4"/>
  <c r="E57" i="4"/>
  <c r="D57" i="4"/>
  <c r="C57" i="4"/>
  <c r="A57" i="4"/>
  <c r="H56" i="4"/>
  <c r="G56" i="4"/>
  <c r="F56" i="4"/>
  <c r="E56" i="4"/>
  <c r="D56" i="4"/>
  <c r="C56" i="4"/>
  <c r="A56" i="4"/>
  <c r="H55" i="4"/>
  <c r="G55" i="4"/>
  <c r="F55" i="4"/>
  <c r="E55" i="4"/>
  <c r="D55" i="4"/>
  <c r="C55" i="4"/>
  <c r="A55" i="4"/>
  <c r="H54" i="4"/>
  <c r="G54" i="4"/>
  <c r="F54" i="4"/>
  <c r="E54" i="4"/>
  <c r="D54" i="4"/>
  <c r="C54" i="4"/>
  <c r="A54" i="4"/>
  <c r="H53" i="4"/>
  <c r="G53" i="4"/>
  <c r="F53" i="4"/>
  <c r="E53" i="4"/>
  <c r="D53" i="4"/>
  <c r="C53" i="4"/>
  <c r="A53" i="4"/>
  <c r="H52" i="4"/>
  <c r="G52" i="4"/>
  <c r="F52" i="4"/>
  <c r="E52" i="4"/>
  <c r="D52" i="4"/>
  <c r="C52" i="4"/>
  <c r="A52" i="4"/>
  <c r="H51" i="4"/>
  <c r="G51" i="4"/>
  <c r="F51" i="4"/>
  <c r="E51" i="4"/>
  <c r="D51" i="4"/>
  <c r="C51" i="4"/>
  <c r="A51" i="4"/>
  <c r="H50" i="4"/>
  <c r="G50" i="4"/>
  <c r="F50" i="4"/>
  <c r="E50" i="4"/>
  <c r="D50" i="4"/>
  <c r="C50" i="4"/>
  <c r="A50" i="4"/>
  <c r="H49" i="4"/>
  <c r="G49" i="4"/>
  <c r="F49" i="4"/>
  <c r="E49" i="4"/>
  <c r="D49" i="4"/>
  <c r="C49" i="4"/>
  <c r="A49" i="4"/>
  <c r="H48" i="4"/>
  <c r="G48" i="4"/>
  <c r="F48" i="4"/>
  <c r="E48" i="4"/>
  <c r="D48" i="4"/>
  <c r="C48" i="4"/>
  <c r="A48" i="4"/>
  <c r="H47" i="4"/>
  <c r="G47" i="4"/>
  <c r="F47" i="4"/>
  <c r="E47" i="4"/>
  <c r="D47" i="4"/>
  <c r="C47" i="4"/>
  <c r="A47" i="4"/>
  <c r="H46" i="4"/>
  <c r="G46" i="4"/>
  <c r="F46" i="4"/>
  <c r="E46" i="4"/>
  <c r="D46" i="4"/>
  <c r="C46" i="4"/>
  <c r="A46" i="4"/>
  <c r="H45" i="4"/>
  <c r="G45" i="4"/>
  <c r="F45" i="4"/>
  <c r="E45" i="4"/>
  <c r="D45" i="4"/>
  <c r="C45" i="4"/>
  <c r="A45" i="4"/>
  <c r="H44" i="4"/>
  <c r="G44" i="4"/>
  <c r="F44" i="4"/>
  <c r="E44" i="4"/>
  <c r="D44" i="4"/>
  <c r="C44" i="4"/>
  <c r="A44" i="4"/>
  <c r="H43" i="4"/>
  <c r="G43" i="4"/>
  <c r="F43" i="4"/>
  <c r="E43" i="4"/>
  <c r="D43" i="4"/>
  <c r="C43" i="4"/>
  <c r="A43" i="4"/>
  <c r="H42" i="4"/>
  <c r="G42" i="4"/>
  <c r="F42" i="4"/>
  <c r="E42" i="4"/>
  <c r="D42" i="4"/>
  <c r="C42" i="4"/>
  <c r="A42" i="4"/>
  <c r="H41" i="4"/>
  <c r="G41" i="4"/>
  <c r="F41" i="4"/>
  <c r="E41" i="4"/>
  <c r="D41" i="4"/>
  <c r="C41" i="4"/>
  <c r="A41" i="4"/>
  <c r="H40" i="4"/>
  <c r="G40" i="4"/>
  <c r="F40" i="4"/>
  <c r="E40" i="4"/>
  <c r="D40" i="4"/>
  <c r="C40" i="4"/>
  <c r="A40" i="4"/>
  <c r="H39" i="4"/>
  <c r="G39" i="4"/>
  <c r="F39" i="4"/>
  <c r="E39" i="4"/>
  <c r="D39" i="4"/>
  <c r="C39" i="4"/>
  <c r="A39" i="4"/>
  <c r="H38" i="4"/>
  <c r="G38" i="4"/>
  <c r="F38" i="4"/>
  <c r="E38" i="4"/>
  <c r="D38" i="4"/>
  <c r="C38" i="4"/>
  <c r="A38" i="4"/>
  <c r="H37" i="4"/>
  <c r="G37" i="4"/>
  <c r="F37" i="4"/>
  <c r="E37" i="4"/>
  <c r="D37" i="4"/>
  <c r="C37" i="4"/>
  <c r="A37" i="4"/>
  <c r="H36" i="4"/>
  <c r="G36" i="4"/>
  <c r="F36" i="4"/>
  <c r="E36" i="4"/>
  <c r="D36" i="4"/>
  <c r="C36" i="4"/>
  <c r="A36" i="4"/>
  <c r="H35" i="4"/>
  <c r="G35" i="4"/>
  <c r="F35" i="4"/>
  <c r="E35" i="4"/>
  <c r="D35" i="4"/>
  <c r="C35" i="4"/>
  <c r="A35" i="4"/>
  <c r="H34" i="4"/>
  <c r="G34" i="4"/>
  <c r="F34" i="4"/>
  <c r="E34" i="4"/>
  <c r="D34" i="4"/>
  <c r="C34" i="4"/>
  <c r="A34" i="4"/>
  <c r="H33" i="4"/>
  <c r="G33" i="4"/>
  <c r="F33" i="4"/>
  <c r="E33" i="4"/>
  <c r="D33" i="4"/>
  <c r="C33" i="4"/>
  <c r="A33" i="4"/>
  <c r="H32" i="4"/>
  <c r="G32" i="4"/>
  <c r="F32" i="4"/>
  <c r="E32" i="4"/>
  <c r="D32" i="4"/>
  <c r="C32" i="4"/>
  <c r="A32" i="4"/>
  <c r="H31" i="4"/>
  <c r="G31" i="4"/>
  <c r="F31" i="4"/>
  <c r="E31" i="4"/>
  <c r="D31" i="4"/>
  <c r="C31" i="4"/>
  <c r="A31" i="4"/>
  <c r="H30" i="4"/>
  <c r="G30" i="4"/>
  <c r="F30" i="4"/>
  <c r="E30" i="4"/>
  <c r="D30" i="4"/>
  <c r="C30" i="4"/>
  <c r="A30" i="4"/>
  <c r="J29" i="4"/>
  <c r="I29" i="4"/>
  <c r="H29" i="4"/>
  <c r="G29" i="4"/>
  <c r="F29" i="4"/>
  <c r="E29" i="4"/>
  <c r="D29" i="4"/>
  <c r="C29" i="4"/>
  <c r="A29" i="4"/>
  <c r="H28" i="4"/>
  <c r="G28" i="4"/>
  <c r="F28" i="4"/>
  <c r="E28" i="4"/>
  <c r="D28" i="4"/>
  <c r="C28" i="4"/>
  <c r="A28" i="4"/>
  <c r="H27" i="4"/>
  <c r="G27" i="4"/>
  <c r="F27" i="4"/>
  <c r="E27" i="4"/>
  <c r="D27" i="4"/>
  <c r="C27" i="4"/>
  <c r="A27" i="4"/>
  <c r="H26" i="4"/>
  <c r="G26" i="4"/>
  <c r="F26" i="4"/>
  <c r="E26" i="4"/>
  <c r="D26" i="4"/>
  <c r="C26" i="4"/>
  <c r="A26" i="4"/>
  <c r="H25" i="4"/>
  <c r="G25" i="4"/>
  <c r="F25" i="4"/>
  <c r="E25" i="4"/>
  <c r="D25" i="4"/>
  <c r="C25" i="4"/>
  <c r="A25" i="4"/>
  <c r="H24" i="4"/>
  <c r="G24" i="4"/>
  <c r="F24" i="4"/>
  <c r="E24" i="4"/>
  <c r="D24" i="4"/>
  <c r="C24" i="4"/>
  <c r="A24" i="4"/>
  <c r="H23" i="4"/>
  <c r="G23" i="4"/>
  <c r="F23" i="4"/>
  <c r="E23" i="4"/>
  <c r="D23" i="4"/>
  <c r="C23" i="4"/>
  <c r="A23" i="4"/>
  <c r="H22" i="4"/>
  <c r="G22" i="4"/>
  <c r="F22" i="4"/>
  <c r="E22" i="4"/>
  <c r="D22" i="4"/>
  <c r="C22" i="4"/>
  <c r="A22" i="4"/>
  <c r="H21" i="4"/>
  <c r="G21" i="4"/>
  <c r="F21" i="4"/>
  <c r="E21" i="4"/>
  <c r="D21" i="4"/>
  <c r="C21" i="4"/>
  <c r="A21" i="4"/>
  <c r="H20" i="4"/>
  <c r="G20" i="4"/>
  <c r="F20" i="4"/>
  <c r="E20" i="4"/>
  <c r="D20" i="4"/>
  <c r="C20" i="4"/>
  <c r="A20" i="4"/>
  <c r="H19" i="4"/>
  <c r="G19" i="4"/>
  <c r="F19" i="4"/>
  <c r="E19" i="4"/>
  <c r="D19" i="4"/>
  <c r="C19" i="4"/>
  <c r="A19" i="4"/>
  <c r="H18" i="4"/>
  <c r="G18" i="4"/>
  <c r="F18" i="4"/>
  <c r="E18" i="4"/>
  <c r="D18" i="4"/>
  <c r="C18" i="4"/>
  <c r="A18" i="4"/>
  <c r="H17" i="4"/>
  <c r="G17" i="4"/>
  <c r="F17" i="4"/>
  <c r="E17" i="4"/>
  <c r="D17" i="4"/>
  <c r="C17" i="4"/>
  <c r="A17" i="4"/>
  <c r="H16" i="4"/>
  <c r="G16" i="4"/>
  <c r="F16" i="4"/>
  <c r="E16" i="4"/>
  <c r="D16" i="4"/>
  <c r="C16" i="4"/>
  <c r="A16" i="4"/>
  <c r="H15" i="4"/>
  <c r="G15" i="4"/>
  <c r="F15" i="4"/>
  <c r="E15" i="4"/>
  <c r="D15" i="4"/>
  <c r="C15" i="4"/>
  <c r="A15" i="4"/>
  <c r="H14" i="4"/>
  <c r="G14" i="4"/>
  <c r="F14" i="4"/>
  <c r="E14" i="4"/>
  <c r="D14" i="4"/>
  <c r="C14" i="4"/>
  <c r="A14" i="4"/>
  <c r="J13" i="4"/>
  <c r="I13" i="4"/>
  <c r="H13" i="4"/>
  <c r="G13" i="4"/>
  <c r="F13" i="4"/>
  <c r="E13" i="4"/>
  <c r="D13" i="4"/>
  <c r="C13" i="4"/>
  <c r="A13" i="4"/>
  <c r="J12" i="4"/>
  <c r="I12" i="4"/>
  <c r="H12" i="4"/>
  <c r="G12" i="4"/>
  <c r="F12" i="4"/>
  <c r="E12" i="4"/>
  <c r="D12" i="4"/>
  <c r="C12" i="4"/>
  <c r="A12" i="4"/>
  <c r="H11" i="4"/>
  <c r="G11" i="4"/>
  <c r="F11" i="4"/>
  <c r="E11" i="4"/>
  <c r="D11" i="4"/>
  <c r="C11" i="4"/>
  <c r="A11" i="4"/>
  <c r="H10" i="4"/>
  <c r="G10" i="4"/>
  <c r="F10" i="4"/>
  <c r="E10" i="4"/>
  <c r="D10" i="4"/>
  <c r="C10" i="4"/>
  <c r="A10" i="4"/>
  <c r="H9" i="4"/>
  <c r="G9" i="4"/>
  <c r="F9" i="4"/>
  <c r="E9" i="4"/>
  <c r="D9" i="4"/>
  <c r="C9" i="4"/>
  <c r="A9" i="4"/>
  <c r="H8" i="4"/>
  <c r="G8" i="4"/>
  <c r="F8" i="4"/>
  <c r="E8" i="4"/>
  <c r="D8" i="4"/>
  <c r="C8" i="4"/>
  <c r="A8" i="4"/>
  <c r="H7" i="4"/>
  <c r="G7" i="4"/>
  <c r="F7" i="4"/>
  <c r="E7" i="4"/>
  <c r="D7" i="4"/>
  <c r="C7" i="4"/>
  <c r="A7" i="4"/>
  <c r="H6" i="4"/>
  <c r="G6" i="4"/>
  <c r="F6" i="4"/>
  <c r="E6" i="4"/>
  <c r="D6" i="4"/>
  <c r="C6" i="4"/>
  <c r="A6" i="4"/>
  <c r="H5" i="4"/>
  <c r="G5" i="4"/>
  <c r="F5" i="4"/>
  <c r="E5" i="4"/>
  <c r="D5" i="4"/>
  <c r="C5" i="4"/>
  <c r="A5" i="4"/>
  <c r="H4" i="4"/>
  <c r="G4" i="4"/>
  <c r="F4" i="4"/>
  <c r="E4" i="4"/>
  <c r="D4" i="4"/>
  <c r="C4" i="4"/>
  <c r="A4" i="4"/>
  <c r="H3" i="4"/>
  <c r="G3" i="4"/>
  <c r="F3" i="4"/>
  <c r="E3" i="4"/>
  <c r="D3" i="4"/>
  <c r="C3" i="4"/>
  <c r="A3" i="4"/>
  <c r="H2" i="4"/>
  <c r="G2" i="4"/>
  <c r="F2" i="4"/>
  <c r="E2" i="4"/>
  <c r="D2" i="4"/>
  <c r="C2" i="4"/>
  <c r="A2" i="4"/>
  <c r="R13" i="3"/>
  <c r="Q13" i="3"/>
  <c r="P13" i="3"/>
  <c r="O13" i="3"/>
  <c r="N13" i="3"/>
  <c r="G13" i="3"/>
  <c r="R12" i="3"/>
  <c r="Q12" i="3"/>
  <c r="P12" i="3"/>
  <c r="O12" i="3"/>
  <c r="N12" i="3"/>
  <c r="G12" i="3"/>
  <c r="R11" i="3"/>
  <c r="Q11" i="3"/>
  <c r="P11" i="3"/>
  <c r="O11" i="3"/>
  <c r="N11" i="3"/>
  <c r="G11" i="3"/>
  <c r="R10" i="3"/>
  <c r="Q10" i="3"/>
  <c r="P10" i="3"/>
  <c r="O10" i="3"/>
  <c r="N10" i="3"/>
  <c r="G10" i="3"/>
  <c r="R9" i="3"/>
  <c r="Q9" i="3"/>
  <c r="P9" i="3"/>
  <c r="O9" i="3"/>
  <c r="N9" i="3"/>
  <c r="G9" i="3"/>
  <c r="R8" i="3"/>
  <c r="Q8" i="3"/>
  <c r="P8" i="3"/>
  <c r="O8" i="3"/>
  <c r="N8" i="3"/>
  <c r="G8" i="3"/>
  <c r="R7" i="3"/>
  <c r="Q7" i="3"/>
  <c r="P7" i="3"/>
  <c r="O7" i="3"/>
  <c r="N7" i="3"/>
  <c r="G7" i="3"/>
  <c r="R6" i="3"/>
  <c r="Q6" i="3"/>
  <c r="P6" i="3"/>
  <c r="O6" i="3"/>
  <c r="N6" i="3"/>
  <c r="G6" i="3"/>
  <c r="R5" i="3"/>
  <c r="Q5" i="3"/>
  <c r="P5" i="3"/>
  <c r="O5" i="3"/>
  <c r="N5" i="3"/>
  <c r="G5" i="3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B181" i="4" l="1"/>
  <c r="I181" i="4" s="1"/>
  <c r="J181" i="4" s="1"/>
  <c r="B180" i="4"/>
  <c r="I180" i="4" s="1"/>
  <c r="J180" i="4" s="1"/>
  <c r="B173" i="4"/>
  <c r="I173" i="4" s="1"/>
  <c r="J173" i="4" s="1"/>
  <c r="B169" i="4"/>
  <c r="I169" i="4" s="1"/>
  <c r="J169" i="4" s="1"/>
  <c r="B165" i="4"/>
  <c r="I165" i="4" s="1"/>
  <c r="J165" i="4" s="1"/>
  <c r="B161" i="4"/>
  <c r="I161" i="4" s="1"/>
  <c r="J161" i="4" s="1"/>
  <c r="B157" i="4"/>
  <c r="I157" i="4" s="1"/>
  <c r="J157" i="4" s="1"/>
  <c r="B153" i="4"/>
  <c r="I153" i="4" s="1"/>
  <c r="J153" i="4" s="1"/>
  <c r="B149" i="4"/>
  <c r="I149" i="4" s="1"/>
  <c r="J149" i="4" s="1"/>
  <c r="B145" i="4"/>
  <c r="I145" i="4" s="1"/>
  <c r="J145" i="4" s="1"/>
  <c r="B142" i="4"/>
  <c r="B138" i="4"/>
  <c r="I138" i="4" s="1"/>
  <c r="J138" i="4" s="1"/>
  <c r="B134" i="4"/>
  <c r="I134" i="4" s="1"/>
  <c r="J134" i="4" s="1"/>
  <c r="B130" i="4"/>
  <c r="I130" i="4" s="1"/>
  <c r="J130" i="4" s="1"/>
  <c r="B127" i="4"/>
  <c r="I127" i="4" s="1"/>
  <c r="J127" i="4" s="1"/>
  <c r="B121" i="4"/>
  <c r="I121" i="4" s="1"/>
  <c r="J121" i="4" s="1"/>
  <c r="B117" i="4"/>
  <c r="I117" i="4" s="1"/>
  <c r="J117" i="4" s="1"/>
  <c r="B113" i="4"/>
  <c r="I113" i="4" s="1"/>
  <c r="J113" i="4" s="1"/>
  <c r="B109" i="4"/>
  <c r="I109" i="4" s="1"/>
  <c r="J109" i="4" s="1"/>
  <c r="B105" i="4"/>
  <c r="I105" i="4" s="1"/>
  <c r="J105" i="4" s="1"/>
  <c r="B101" i="4"/>
  <c r="I101" i="4" s="1"/>
  <c r="J101" i="4" s="1"/>
  <c r="B97" i="4"/>
  <c r="I97" i="4" s="1"/>
  <c r="J97" i="4" s="1"/>
  <c r="B93" i="4"/>
  <c r="I93" i="4" s="1"/>
  <c r="J93" i="4" s="1"/>
  <c r="B90" i="4"/>
  <c r="B86" i="4"/>
  <c r="I86" i="4" s="1"/>
  <c r="J86" i="4" s="1"/>
  <c r="B82" i="4"/>
  <c r="I82" i="4" s="1"/>
  <c r="J82" i="4" s="1"/>
  <c r="B79" i="4"/>
  <c r="I79" i="4" s="1"/>
  <c r="J79" i="4" s="1"/>
  <c r="B75" i="4"/>
  <c r="I75" i="4" s="1"/>
  <c r="J75" i="4" s="1"/>
  <c r="B71" i="4"/>
  <c r="I71" i="4" s="1"/>
  <c r="J71" i="4" s="1"/>
  <c r="B67" i="4"/>
  <c r="I67" i="4" s="1"/>
  <c r="J67" i="4" s="1"/>
  <c r="B64" i="4"/>
  <c r="I64" i="4" s="1"/>
  <c r="J64" i="4" s="1"/>
  <c r="B60" i="4"/>
  <c r="I60" i="4" s="1"/>
  <c r="J60" i="4" s="1"/>
  <c r="B56" i="4"/>
  <c r="I56" i="4" s="1"/>
  <c r="J56" i="4" s="1"/>
  <c r="B52" i="4"/>
  <c r="I52" i="4" s="1"/>
  <c r="J52" i="4" s="1"/>
  <c r="B48" i="4"/>
  <c r="I48" i="4" s="1"/>
  <c r="J48" i="4" s="1"/>
  <c r="B44" i="4"/>
  <c r="I44" i="4" s="1"/>
  <c r="J44" i="4" s="1"/>
  <c r="B40" i="4"/>
  <c r="I40" i="4" s="1"/>
  <c r="J40" i="4" s="1"/>
  <c r="B36" i="4"/>
  <c r="I36" i="4" s="1"/>
  <c r="J36" i="4" s="1"/>
  <c r="B32" i="4"/>
  <c r="I32" i="4" s="1"/>
  <c r="J32" i="4" s="1"/>
  <c r="B29" i="4"/>
  <c r="B25" i="4"/>
  <c r="I25" i="4" s="1"/>
  <c r="J25" i="4" s="1"/>
  <c r="B21" i="4"/>
  <c r="I21" i="4" s="1"/>
  <c r="J21" i="4" s="1"/>
  <c r="B17" i="4"/>
  <c r="I17" i="4" s="1"/>
  <c r="J17" i="4" s="1"/>
  <c r="B179" i="4"/>
  <c r="I179" i="4" s="1"/>
  <c r="J179" i="4" s="1"/>
  <c r="B178" i="4"/>
  <c r="I178" i="4" s="1"/>
  <c r="J178" i="4" s="1"/>
  <c r="B175" i="4"/>
  <c r="I175" i="4" s="1"/>
  <c r="J175" i="4" s="1"/>
  <c r="B171" i="4"/>
  <c r="I171" i="4" s="1"/>
  <c r="J171" i="4" s="1"/>
  <c r="B167" i="4"/>
  <c r="I167" i="4" s="1"/>
  <c r="J167" i="4" s="1"/>
  <c r="B163" i="4"/>
  <c r="I163" i="4" s="1"/>
  <c r="J163" i="4" s="1"/>
  <c r="B159" i="4"/>
  <c r="I159" i="4" s="1"/>
  <c r="J159" i="4" s="1"/>
  <c r="B155" i="4"/>
  <c r="I155" i="4" s="1"/>
  <c r="J155" i="4" s="1"/>
  <c r="B151" i="4"/>
  <c r="I151" i="4" s="1"/>
  <c r="J151" i="4" s="1"/>
  <c r="B147" i="4"/>
  <c r="I147" i="4" s="1"/>
  <c r="J147" i="4" s="1"/>
  <c r="B143" i="4"/>
  <c r="I143" i="4" s="1"/>
  <c r="J143" i="4" s="1"/>
  <c r="B140" i="4"/>
  <c r="I140" i="4" s="1"/>
  <c r="J140" i="4" s="1"/>
  <c r="B136" i="4"/>
  <c r="I136" i="4" s="1"/>
  <c r="J136" i="4" s="1"/>
  <c r="B132" i="4"/>
  <c r="I132" i="4" s="1"/>
  <c r="J132" i="4" s="1"/>
  <c r="B126" i="4"/>
  <c r="B123" i="4"/>
  <c r="I123" i="4" s="1"/>
  <c r="J123" i="4" s="1"/>
  <c r="B119" i="4"/>
  <c r="I119" i="4" s="1"/>
  <c r="J119" i="4" s="1"/>
  <c r="B115" i="4"/>
  <c r="I115" i="4" s="1"/>
  <c r="J115" i="4" s="1"/>
  <c r="B111" i="4"/>
  <c r="I111" i="4" s="1"/>
  <c r="J111" i="4" s="1"/>
  <c r="B107" i="4"/>
  <c r="I107" i="4" s="1"/>
  <c r="J107" i="4" s="1"/>
  <c r="B103" i="4"/>
  <c r="I103" i="4" s="1"/>
  <c r="J103" i="4" s="1"/>
  <c r="B99" i="4"/>
  <c r="I99" i="4" s="1"/>
  <c r="J99" i="4" s="1"/>
  <c r="B95" i="4"/>
  <c r="I95" i="4" s="1"/>
  <c r="J95" i="4" s="1"/>
  <c r="B91" i="4"/>
  <c r="I91" i="4" s="1"/>
  <c r="J91" i="4" s="1"/>
  <c r="B88" i="4"/>
  <c r="I88" i="4" s="1"/>
  <c r="J88" i="4" s="1"/>
  <c r="B84" i="4"/>
  <c r="I84" i="4" s="1"/>
  <c r="J84" i="4" s="1"/>
  <c r="B81" i="4"/>
  <c r="B77" i="4"/>
  <c r="I77" i="4" s="1"/>
  <c r="J77" i="4" s="1"/>
  <c r="B73" i="4"/>
  <c r="I73" i="4" s="1"/>
  <c r="J73" i="4" s="1"/>
  <c r="B69" i="4"/>
  <c r="I69" i="4" s="1"/>
  <c r="J69" i="4" s="1"/>
  <c r="B62" i="4"/>
  <c r="I62" i="4" s="1"/>
  <c r="J62" i="4" s="1"/>
  <c r="B58" i="4"/>
  <c r="I58" i="4" s="1"/>
  <c r="J58" i="4" s="1"/>
  <c r="B54" i="4"/>
  <c r="I54" i="4" s="1"/>
  <c r="J54" i="4" s="1"/>
  <c r="B50" i="4"/>
  <c r="I50" i="4" s="1"/>
  <c r="J50" i="4" s="1"/>
  <c r="B46" i="4"/>
  <c r="I46" i="4" s="1"/>
  <c r="J46" i="4" s="1"/>
  <c r="B42" i="4"/>
  <c r="I42" i="4" s="1"/>
  <c r="J42" i="4" s="1"/>
  <c r="B38" i="4"/>
  <c r="I38" i="4" s="1"/>
  <c r="J38" i="4" s="1"/>
  <c r="B34" i="4"/>
  <c r="I34" i="4" s="1"/>
  <c r="J34" i="4" s="1"/>
  <c r="B30" i="4"/>
  <c r="I30" i="4" s="1"/>
  <c r="J30" i="4" s="1"/>
  <c r="B27" i="4"/>
  <c r="I27" i="4" s="1"/>
  <c r="J27" i="4" s="1"/>
  <c r="B23" i="4"/>
  <c r="I23" i="4" s="1"/>
  <c r="J23" i="4" s="1"/>
  <c r="B19" i="4"/>
  <c r="I19" i="4" s="1"/>
  <c r="J19" i="4" s="1"/>
  <c r="B15" i="4"/>
  <c r="I15" i="4" s="1"/>
  <c r="J15" i="4" s="1"/>
  <c r="B9" i="4"/>
  <c r="I9" i="4" s="1"/>
  <c r="J9" i="4" s="1"/>
  <c r="B177" i="4"/>
  <c r="I177" i="4" s="1"/>
  <c r="J177" i="4" s="1"/>
  <c r="B174" i="4"/>
  <c r="I174" i="4" s="1"/>
  <c r="J174" i="4" s="1"/>
  <c r="B170" i="4"/>
  <c r="I170" i="4" s="1"/>
  <c r="J170" i="4" s="1"/>
  <c r="B166" i="4"/>
  <c r="I166" i="4" s="1"/>
  <c r="J166" i="4" s="1"/>
  <c r="B162" i="4"/>
  <c r="I162" i="4" s="1"/>
  <c r="J162" i="4" s="1"/>
  <c r="B158" i="4"/>
  <c r="I158" i="4" s="1"/>
  <c r="J158" i="4" s="1"/>
  <c r="B154" i="4"/>
  <c r="I154" i="4" s="1"/>
  <c r="J154" i="4" s="1"/>
  <c r="B150" i="4"/>
  <c r="I150" i="4" s="1"/>
  <c r="J150" i="4" s="1"/>
  <c r="B146" i="4"/>
  <c r="I146" i="4" s="1"/>
  <c r="J146" i="4" s="1"/>
  <c r="B139" i="4"/>
  <c r="I139" i="4" s="1"/>
  <c r="J139" i="4" s="1"/>
  <c r="B135" i="4"/>
  <c r="I135" i="4" s="1"/>
  <c r="J135" i="4" s="1"/>
  <c r="B131" i="4"/>
  <c r="I131" i="4" s="1"/>
  <c r="J131" i="4" s="1"/>
  <c r="B128" i="4"/>
  <c r="B125" i="4"/>
  <c r="I125" i="4" s="1"/>
  <c r="J125" i="4" s="1"/>
  <c r="B122" i="4"/>
  <c r="I122" i="4" s="1"/>
  <c r="J122" i="4" s="1"/>
  <c r="B118" i="4"/>
  <c r="I118" i="4" s="1"/>
  <c r="J118" i="4" s="1"/>
  <c r="B114" i="4"/>
  <c r="I114" i="4" s="1"/>
  <c r="J114" i="4" s="1"/>
  <c r="B110" i="4"/>
  <c r="I110" i="4" s="1"/>
  <c r="J110" i="4" s="1"/>
  <c r="B106" i="4"/>
  <c r="I106" i="4" s="1"/>
  <c r="J106" i="4" s="1"/>
  <c r="B102" i="4"/>
  <c r="I102" i="4" s="1"/>
  <c r="J102" i="4" s="1"/>
  <c r="B98" i="4"/>
  <c r="I98" i="4" s="1"/>
  <c r="J98" i="4" s="1"/>
  <c r="B94" i="4"/>
  <c r="I94" i="4" s="1"/>
  <c r="J94" i="4" s="1"/>
  <c r="B87" i="4"/>
  <c r="I87" i="4" s="1"/>
  <c r="J87" i="4" s="1"/>
  <c r="B83" i="4"/>
  <c r="I83" i="4" s="1"/>
  <c r="J83" i="4" s="1"/>
  <c r="B80" i="4"/>
  <c r="I80" i="4" s="1"/>
  <c r="J80" i="4" s="1"/>
  <c r="B76" i="4"/>
  <c r="I76" i="4" s="1"/>
  <c r="J76" i="4" s="1"/>
  <c r="B72" i="4"/>
  <c r="I72" i="4" s="1"/>
  <c r="J72" i="4" s="1"/>
  <c r="B68" i="4"/>
  <c r="I68" i="4" s="1"/>
  <c r="J68" i="4" s="1"/>
  <c r="B65" i="4"/>
  <c r="B61" i="4"/>
  <c r="I61" i="4" s="1"/>
  <c r="J61" i="4" s="1"/>
  <c r="B57" i="4"/>
  <c r="I57" i="4" s="1"/>
  <c r="J57" i="4" s="1"/>
  <c r="B53" i="4"/>
  <c r="I53" i="4" s="1"/>
  <c r="J53" i="4" s="1"/>
  <c r="B49" i="4"/>
  <c r="I49" i="4" s="1"/>
  <c r="J49" i="4" s="1"/>
  <c r="B45" i="4"/>
  <c r="I45" i="4" s="1"/>
  <c r="J45" i="4" s="1"/>
  <c r="B41" i="4"/>
  <c r="I41" i="4" s="1"/>
  <c r="J41" i="4" s="1"/>
  <c r="B37" i="4"/>
  <c r="I37" i="4" s="1"/>
  <c r="J37" i="4" s="1"/>
  <c r="B33" i="4"/>
  <c r="I33" i="4" s="1"/>
  <c r="J33" i="4" s="1"/>
  <c r="B26" i="4"/>
  <c r="I26" i="4" s="1"/>
  <c r="J26" i="4" s="1"/>
  <c r="B3" i="4"/>
  <c r="I3" i="4" s="1"/>
  <c r="J3" i="4" s="1"/>
  <c r="B6" i="4"/>
  <c r="I6" i="4" s="1"/>
  <c r="J6" i="4" s="1"/>
  <c r="B7" i="4"/>
  <c r="I7" i="4" s="1"/>
  <c r="J7" i="4" s="1"/>
  <c r="B28" i="4"/>
  <c r="I28" i="4" s="1"/>
  <c r="J28" i="4" s="1"/>
  <c r="B31" i="4"/>
  <c r="I31" i="4" s="1"/>
  <c r="J31" i="4" s="1"/>
  <c r="B39" i="4"/>
  <c r="I39" i="4" s="1"/>
  <c r="J39" i="4" s="1"/>
  <c r="B47" i="4"/>
  <c r="I47" i="4" s="1"/>
  <c r="J47" i="4" s="1"/>
  <c r="B55" i="4"/>
  <c r="I55" i="4" s="1"/>
  <c r="J55" i="4" s="1"/>
  <c r="B63" i="4"/>
  <c r="I63" i="4" s="1"/>
  <c r="J63" i="4" s="1"/>
  <c r="B133" i="4"/>
  <c r="I133" i="4" s="1"/>
  <c r="J133" i="4" s="1"/>
  <c r="B141" i="4"/>
  <c r="I141" i="4" s="1"/>
  <c r="J141" i="4" s="1"/>
  <c r="B144" i="4"/>
  <c r="I144" i="4" s="1"/>
  <c r="J144" i="4" s="1"/>
  <c r="B152" i="4"/>
  <c r="I152" i="4" s="1"/>
  <c r="J152" i="4" s="1"/>
  <c r="B160" i="4"/>
  <c r="I160" i="4" s="1"/>
  <c r="J160" i="4" s="1"/>
  <c r="B168" i="4"/>
  <c r="I168" i="4" s="1"/>
  <c r="J168" i="4" s="1"/>
  <c r="B176" i="4"/>
  <c r="B8" i="4"/>
  <c r="I8" i="4" s="1"/>
  <c r="J8" i="4" s="1"/>
  <c r="B13" i="4"/>
  <c r="B66" i="4"/>
  <c r="I66" i="4" s="1"/>
  <c r="J66" i="4" s="1"/>
  <c r="B74" i="4"/>
  <c r="I74" i="4" s="1"/>
  <c r="J74" i="4" s="1"/>
  <c r="B85" i="4"/>
  <c r="I85" i="4" s="1"/>
  <c r="J85" i="4" s="1"/>
  <c r="B96" i="4"/>
  <c r="I96" i="4" s="1"/>
  <c r="J96" i="4" s="1"/>
  <c r="B104" i="4"/>
  <c r="I104" i="4" s="1"/>
  <c r="J104" i="4" s="1"/>
  <c r="B112" i="4"/>
  <c r="I112" i="4" s="1"/>
  <c r="J112" i="4" s="1"/>
  <c r="B120" i="4"/>
  <c r="I120" i="4" s="1"/>
  <c r="J120" i="4" s="1"/>
  <c r="B2" i="4"/>
  <c r="B4" i="4"/>
  <c r="I4" i="4" s="1"/>
  <c r="J4" i="4" s="1"/>
  <c r="B10" i="4"/>
  <c r="I10" i="4" s="1"/>
  <c r="J10" i="4" s="1"/>
  <c r="B11" i="4"/>
  <c r="I11" i="4" s="1"/>
  <c r="J11" i="4" s="1"/>
  <c r="B24" i="4"/>
  <c r="I24" i="4" s="1"/>
  <c r="J24" i="4" s="1"/>
  <c r="B35" i="4"/>
  <c r="I35" i="4" s="1"/>
  <c r="J35" i="4" s="1"/>
  <c r="B43" i="4"/>
  <c r="I43" i="4" s="1"/>
  <c r="J43" i="4" s="1"/>
  <c r="B51" i="4"/>
  <c r="I51" i="4" s="1"/>
  <c r="J51" i="4" s="1"/>
  <c r="B59" i="4"/>
  <c r="I59" i="4" s="1"/>
  <c r="J59" i="4" s="1"/>
  <c r="B129" i="4"/>
  <c r="I129" i="4" s="1"/>
  <c r="J129" i="4" s="1"/>
  <c r="B137" i="4"/>
  <c r="I137" i="4" s="1"/>
  <c r="J137" i="4" s="1"/>
  <c r="B148" i="4"/>
  <c r="I148" i="4" s="1"/>
  <c r="J148" i="4" s="1"/>
  <c r="B156" i="4"/>
  <c r="I156" i="4" s="1"/>
  <c r="J156" i="4" s="1"/>
  <c r="B164" i="4"/>
  <c r="I164" i="4" s="1"/>
  <c r="J164" i="4" s="1"/>
  <c r="B172" i="4"/>
  <c r="I172" i="4" s="1"/>
  <c r="J172" i="4" s="1"/>
  <c r="B5" i="4"/>
  <c r="I5" i="4" s="1"/>
  <c r="J5" i="4" s="1"/>
  <c r="B12" i="4"/>
  <c r="B14" i="4"/>
  <c r="I14" i="4" s="1"/>
  <c r="J14" i="4" s="1"/>
  <c r="B16" i="4"/>
  <c r="I16" i="4" s="1"/>
  <c r="J16" i="4" s="1"/>
  <c r="B18" i="4"/>
  <c r="I18" i="4" s="1"/>
  <c r="J18" i="4" s="1"/>
  <c r="B20" i="4"/>
  <c r="I20" i="4" s="1"/>
  <c r="J20" i="4" s="1"/>
  <c r="B22" i="4"/>
  <c r="I22" i="4" s="1"/>
  <c r="J22" i="4" s="1"/>
  <c r="B70" i="4"/>
  <c r="I70" i="4" s="1"/>
  <c r="J70" i="4" s="1"/>
  <c r="B78" i="4"/>
  <c r="I78" i="4" s="1"/>
  <c r="J78" i="4" s="1"/>
  <c r="B89" i="4"/>
  <c r="I89" i="4" s="1"/>
  <c r="J89" i="4" s="1"/>
  <c r="B92" i="4"/>
  <c r="I92" i="4" s="1"/>
  <c r="J92" i="4" s="1"/>
  <c r="B100" i="4"/>
  <c r="I100" i="4" s="1"/>
  <c r="J100" i="4" s="1"/>
  <c r="B108" i="4"/>
  <c r="I108" i="4" s="1"/>
  <c r="J108" i="4" s="1"/>
  <c r="B116" i="4"/>
  <c r="I116" i="4" s="1"/>
  <c r="J116" i="4" s="1"/>
  <c r="B124" i="4"/>
  <c r="J13" i="2" l="1"/>
  <c r="H12" i="2"/>
  <c r="J11" i="2"/>
  <c r="H10" i="2"/>
  <c r="I13" i="2"/>
  <c r="I2" i="4"/>
  <c r="J2" i="4" s="1"/>
  <c r="H13" i="2"/>
  <c r="K13" i="2"/>
  <c r="G13" i="2"/>
  <c r="C13" i="2"/>
  <c r="D13" i="2" s="1"/>
  <c r="I12" i="2"/>
  <c r="E12" i="2"/>
  <c r="K11" i="2"/>
  <c r="G11" i="2"/>
  <c r="C11" i="2"/>
  <c r="D11" i="2" s="1"/>
  <c r="I10" i="2"/>
  <c r="E10" i="2"/>
  <c r="K9" i="2"/>
  <c r="G9" i="2"/>
  <c r="C9" i="2"/>
  <c r="D9" i="2" s="1"/>
  <c r="I8" i="2"/>
  <c r="E8" i="2"/>
  <c r="K7" i="2"/>
  <c r="G7" i="2"/>
  <c r="C7" i="2"/>
  <c r="D7" i="2" s="1"/>
  <c r="I6" i="2"/>
  <c r="E6" i="2"/>
  <c r="K5" i="2"/>
  <c r="G5" i="2"/>
  <c r="C5" i="2"/>
  <c r="J9" i="2"/>
  <c r="H8" i="2"/>
  <c r="J7" i="2"/>
  <c r="H6" i="2"/>
  <c r="J5" i="2"/>
  <c r="E13" i="2"/>
  <c r="K12" i="2"/>
  <c r="G12" i="2"/>
  <c r="C12" i="2"/>
  <c r="D12" i="2" s="1"/>
  <c r="F12" i="2" s="1"/>
  <c r="I11" i="2"/>
  <c r="E11" i="2"/>
  <c r="K10" i="2"/>
  <c r="G10" i="2"/>
  <c r="C10" i="2"/>
  <c r="D10" i="2" s="1"/>
  <c r="F10" i="2" s="1"/>
  <c r="I9" i="2"/>
  <c r="G8" i="2"/>
  <c r="I7" i="2"/>
  <c r="G6" i="2"/>
  <c r="I5" i="2"/>
  <c r="I14" i="2" s="1"/>
  <c r="E9" i="2"/>
  <c r="C8" i="2"/>
  <c r="D8" i="2" s="1"/>
  <c r="F8" i="2" s="1"/>
  <c r="K6" i="2"/>
  <c r="J10" i="2"/>
  <c r="J12" i="2"/>
  <c r="H9" i="2"/>
  <c r="H7" i="2"/>
  <c r="H5" i="2"/>
  <c r="K8" i="2"/>
  <c r="E7" i="2"/>
  <c r="C6" i="2"/>
  <c r="D6" i="2" s="1"/>
  <c r="F6" i="2" s="1"/>
  <c r="E5" i="2"/>
  <c r="H11" i="2"/>
  <c r="J8" i="2"/>
  <c r="J6" i="2"/>
  <c r="M13" i="2" l="1"/>
  <c r="L13" i="2"/>
  <c r="P13" i="2" s="1"/>
  <c r="K14" i="2"/>
  <c r="F9" i="2"/>
  <c r="L12" i="2"/>
  <c r="P12" i="2" s="1"/>
  <c r="M7" i="2"/>
  <c r="L7" i="2"/>
  <c r="P7" i="2" s="1"/>
  <c r="J14" i="2"/>
  <c r="L6" i="2"/>
  <c r="P6" i="2" s="1"/>
  <c r="F11" i="2"/>
  <c r="L9" i="2"/>
  <c r="P9" i="2" s="1"/>
  <c r="C14" i="2"/>
  <c r="D5" i="2"/>
  <c r="L8" i="2"/>
  <c r="P8" i="2" s="1"/>
  <c r="F13" i="2"/>
  <c r="E14" i="2"/>
  <c r="L5" i="2"/>
  <c r="P5" i="2" s="1"/>
  <c r="H14" i="2"/>
  <c r="L11" i="2"/>
  <c r="P11" i="2" s="1"/>
  <c r="G14" i="2"/>
  <c r="F7" i="2"/>
  <c r="L10" i="2"/>
  <c r="P10" i="2" s="1"/>
  <c r="M10" i="2"/>
  <c r="M5" i="2" l="1"/>
  <c r="M9" i="2"/>
  <c r="M11" i="2"/>
  <c r="D14" i="2"/>
  <c r="F14" i="2" s="1"/>
  <c r="F5" i="2"/>
  <c r="M6" i="2"/>
  <c r="M12" i="2"/>
  <c r="M8" i="2"/>
</calcChain>
</file>

<file path=xl/sharedStrings.xml><?xml version="1.0" encoding="utf-8"?>
<sst xmlns="http://schemas.openxmlformats.org/spreadsheetml/2006/main" count="339" uniqueCount="134">
  <si>
    <t>Configurazione</t>
  </si>
  <si>
    <t>angularSpeed
(°/s)</t>
  </si>
  <si>
    <t>warningSpeed
Multiplier</t>
  </si>
  <si>
    <t>WZ Radius
(m)</t>
  </si>
  <si>
    <t>TZ Radius
(m)</t>
  </si>
  <si>
    <t>Pos. Obiettivo</t>
  </si>
  <si>
    <t>Campione</t>
  </si>
  <si>
    <t>Agent1_TempoWZ</t>
  </si>
  <si>
    <t>Agent1_NavMesh</t>
  </si>
  <si>
    <t>Agent1_DistWZ</t>
  </si>
  <si>
    <t>Agent1_DistTZ</t>
  </si>
  <si>
    <t>Agent1_TempoTZ</t>
  </si>
  <si>
    <t>Agent1_TempoTot</t>
  </si>
  <si>
    <t>Agent1_Monitor_TempoWZ</t>
  </si>
  <si>
    <t>Agent1_Monitor_TempoTZ</t>
  </si>
  <si>
    <t>Agent1_Monitor_DistWZ</t>
  </si>
  <si>
    <t>Agent1_Monitor_DistTZ</t>
  </si>
  <si>
    <t>Agent1_Monitor_NavMesh</t>
  </si>
  <si>
    <t>Agent1_Totem4_TempoWZ</t>
  </si>
  <si>
    <t>Agent1_Totem4_TempoTZ</t>
  </si>
  <si>
    <t>Agent1_Totem4_DistWZ</t>
  </si>
  <si>
    <t>Agent1_Totem4_DistTZ</t>
  </si>
  <si>
    <t>Agent1_Totem4_NavMesh</t>
  </si>
  <si>
    <t>Dentro WZ</t>
  </si>
  <si>
    <t>Riepilogo del test integrativo</t>
  </si>
  <si>
    <t>Si aggiorna da solo quando fill_excel.py compila il foglio Test Completo. Le definizioni degli esiti sono sotto la tabella.</t>
  </si>
  <si>
    <t>ID</t>
  </si>
  <si>
    <t>Previste</t>
  </si>
  <si>
    <t>Eseguite</t>
  </si>
  <si>
    <t>Riuscite</t>
  </si>
  <si>
    <t>% riuscite</t>
  </si>
  <si>
    <t>Blocchi
al totem</t>
  </si>
  <si>
    <t>Timeout</t>
  </si>
  <si>
    <t>NavMesh non
attivato</t>
  </si>
  <si>
    <t>Oltre le
soglie</t>
  </si>
  <si>
    <t>Tempi
negativi</t>
  </si>
  <si>
    <t>tempoTot medio
riuscite (s)</t>
  </si>
  <si>
    <t>Dev. std.
riuscite (s)</t>
  </si>
  <si>
    <t>tempoTot medio
griglia (s)</t>
  </si>
  <si>
    <t>Dev. std.
griglia (s)</t>
  </si>
  <si>
    <t>Differenza
media (s)</t>
  </si>
  <si>
    <t>T1</t>
  </si>
  <si>
    <t>150°/s · 0,65 · WZ 5 m · TZ 1,25 m (1/4)</t>
  </si>
  <si>
    <t>T2</t>
  </si>
  <si>
    <t>150°/s · 0,8 · WZ 5 m · TZ 1,25 m (1/4)</t>
  </si>
  <si>
    <t>T3</t>
  </si>
  <si>
    <t>90°/s · 0,65 · WZ 5 m · TZ 3,75 m (3/4)</t>
  </si>
  <si>
    <t>T4</t>
  </si>
  <si>
    <t>120°/s · 0,8 · WZ 5 m · TZ 3,75 m (3/4)</t>
  </si>
  <si>
    <t>T5</t>
  </si>
  <si>
    <t>150°/s · 0,5 · WZ 5 m · TZ 3,75 m (3/4)</t>
  </si>
  <si>
    <t>T6</t>
  </si>
  <si>
    <t>90°/s · 0,95 · WZ 5 m · TZ 1,25 m (1/4)</t>
  </si>
  <si>
    <t>T7</t>
  </si>
  <si>
    <t>30°/s · 0,5 · WZ 5 m · TZ 3,75 m (3/4)</t>
  </si>
  <si>
    <t>T8</t>
  </si>
  <si>
    <t>90°/s · 0,8 · WZ 5 m · TZ 1,25 m (1/4)</t>
  </si>
  <si>
    <t>T9</t>
  </si>
  <si>
    <t>90°/s · 0,5 · WZ 4 m · TZ 2 m (2/4)</t>
  </si>
  <si>
    <t>Totale</t>
  </si>
  <si>
    <t>Esiti (una simulazione ha un solo esito, controllato in quest'ordine)</t>
  </si>
  <si>
    <t>non eseguita: la riga non ha ancora risultati.</t>
  </si>
  <si>
    <t>timeout: tempoTot uguale a 0 (episodio interrotto a 120 s). Può essere anche un blocco al totem da cui l'agente non si è liberato in tempo.</t>
  </si>
  <si>
    <t>tempi negativi: tempoWZ o tempoTZ minore di 0.</t>
  </si>
  <si>
    <t>NavMesh non attivato: navMesh minore di 1, cioè almeno un artefatto saltato.</t>
  </si>
  <si>
    <t>blocco al totem: l'agente resta impigliato nel totem ma si libera e completa il percorso (tempo nella TZ del totem oltre la soglia della colonna N del foglio Piano del test).</t>
  </si>
  <si>
    <t>oltre le soglie: tempoTot o tempoWZ oltre il 95° percentile della griglia (soglie nel foglio Piano del test).</t>
  </si>
  <si>
    <t>riuscita: tutti gli altri casi. Media e deviazione standard sono calcolate solo su queste.</t>
  </si>
  <si>
    <t>Eseguite = Previste meno le non eseguite. Differenza media = media del test meno media della griglia.</t>
  </si>
  <si>
    <t>Test integrativo: 9 configurazioni × 20 ripetizioni (simulazioni 1297–1476)</t>
  </si>
  <si>
    <t>Le otto configurazioni più rapide della Tabella 11 e la più rapida della classifica diretta (Sezione 5.5), tutte con l'obiettivo dentro la WZ. Le configurazioni si alternano: una ripetizione di ciascuna, poi la successiva (Campione da 4 a 23).</t>
  </si>
  <si>
    <t>Origine</t>
  </si>
  <si>
    <t>WZ
(m)</t>
  </si>
  <si>
    <t>TZ
(m)</t>
  </si>
  <si>
    <t>Rapporto
TZ/WZ</t>
  </si>
  <si>
    <t>Pos.
Obiettivo</t>
  </si>
  <si>
    <t>N. nel
questionario</t>
  </si>
  <si>
    <t>Simulazioni
nella griglia</t>
  </si>
  <si>
    <t>Mediana tempo TZ
totem, griglia (s)</t>
  </si>
  <si>
    <t>Soglia blocco
al totem (s)</t>
  </si>
  <si>
    <t>Prima
simulazione</t>
  </si>
  <si>
    <t>Ultima
simulazione</t>
  </si>
  <si>
    <t>Ripetizioni
previste</t>
  </si>
  <si>
    <t>Chiave
(uso interno)</t>
  </si>
  <si>
    <t>Tab. 11, 1ª (configurazione scelta)</t>
  </si>
  <si>
    <t>955, 956, 957</t>
  </si>
  <si>
    <t>Tab. 11, 2ª</t>
  </si>
  <si>
    <t>1009, 1010, 1011</t>
  </si>
  <si>
    <t>Tab. 11, 3ª (alternativa con TZ 3/4)</t>
  </si>
  <si>
    <t>535, 536, 537</t>
  </si>
  <si>
    <t>Tab. 11, 4ª</t>
  </si>
  <si>
    <t>805, 806, 807</t>
  </si>
  <si>
    <t>Tab. 11, 5ª</t>
  </si>
  <si>
    <t>913, 914, 915</t>
  </si>
  <si>
    <t>Tab. 11, 6ª</t>
  </si>
  <si>
    <t>631, 632, 633</t>
  </si>
  <si>
    <t>Tab. 11, 7ª</t>
  </si>
  <si>
    <t>49, 50, 51</t>
  </si>
  <si>
    <t>Tab. 11, 8ª</t>
  </si>
  <si>
    <t>577, 578, 579</t>
  </si>
  <si>
    <t>Classifica diretta, 1ª (Sez. 5.5)</t>
  </si>
  <si>
    <t>–</t>
  </si>
  <si>
    <t>457, 458, 459</t>
  </si>
  <si>
    <t>In blu i valori inseriti a mano: parametri della griglia e risultati della griglia (steering_test.xlsx, simulazioni indicate nella colonna J; la mediana del tempo nella TZ del totem è calcolata sulle simulazioni completate con gli stessi raggi e l'obiettivo dentro la WZ).</t>
  </si>
  <si>
    <t>Soglie</t>
  </si>
  <si>
    <t>Pulizia della griglia</t>
  </si>
  <si>
    <t>Soglia tempoTot (s)</t>
  </si>
  <si>
    <t>95° percentile di tempoTot nella griglia (Sezione 4.4)</t>
  </si>
  <si>
    <t>Soglia tempoWZ (s)</t>
  </si>
  <si>
    <t>95° percentile di tempoWZ nella griglia (Sezione 4.4)</t>
  </si>
  <si>
    <t>Blocco al totem</t>
  </si>
  <si>
    <t>Margine per il blocco al totem (s)</t>
  </si>
  <si>
    <t>Blocco = tempo nella TZ del totem oltre la mediana della griglia + margine (Sezione 5.6)</t>
  </si>
  <si>
    <t>Come usarlo</t>
  </si>
  <si>
    <t>1. Copia test_integrativo.xlsx nella cartella degli script, accanto a steering_test.xlsx (che non viene toccato).</t>
  </si>
  <si>
    <t>2. In set_config.py cambia il file e cerca la riga per numero di simulazione, invece che per posizione:</t>
  </si>
  <si>
    <t xml:space="preserve">       EXCEL_PATH = "test_integrativo.xlsx"</t>
  </si>
  <si>
    <t xml:space="preserve">       row = df[df["Configurazione"] == config_num].iloc[0]      # al posto di: row = df.iloc[config_num - 1]</t>
  </si>
  <si>
    <t>3. In fill_excel.py (e in pedPy.py, se lo legge) sostituisci steering_test.xlsx con test_integrativo.xlsx.</t>
  </si>
  <si>
    <t>4. In master_run.py imposta l'intervallo e togli il blocco che salta le configurazioni con tzRadius diverso da 0.75:</t>
  </si>
  <si>
    <t xml:space="preserve">       START_CONFIG = 1297</t>
  </si>
  <si>
    <t xml:space="preserve">       END_CONFIG   = 1476</t>
  </si>
  <si>
    <t>5. Prova: lancia  python master_run.py 1297, fermalo con Ctrl+C dopo la prima simulazione e controlla che la riga 1297 sia compilata.</t>
  </si>
  <si>
    <t>6. Poi riparti con  python master_run.py 1298. Durata stimata: circa 2 ore e mezza. Tieni il file Excel chiuso mentre gira.</t>
  </si>
  <si>
    <t>7. Se ti fermi prima, ogni blocco di 9 simulazioni completa una ripetizione di tutte le configurazioni: per riprendere usa il numero della prima simulazione mancante.</t>
  </si>
  <si>
    <t>Le colonne H–W del foglio Test Completo le compila fill_excel.py: non vanno scritte a mano. I fogli Riepilogo e Calcolo si aggiornano da soli.</t>
  </si>
  <si>
    <t>Simulazione</t>
  </si>
  <si>
    <t>tempoTot</t>
  </si>
  <si>
    <t>NavMesh</t>
  </si>
  <si>
    <t>tempoWZ</t>
  </si>
  <si>
    <t>tempoTZ</t>
  </si>
  <si>
    <t>Tempo TZ totem</t>
  </si>
  <si>
    <t>Esito</t>
  </si>
  <si>
    <t>tempoTot se riuscita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</si>
</sst>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?/4"/>
    <numFmt numFmtId="165" formatCode="0.000"/>
  </numFmts>
  <fonts count="10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3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sz val="10"/>
      <name val="Courier New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9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6" fillId="3" borderId="1" xfId="0" applyNumberFormat="1" applyFont="1" applyFill="1" applyBorder="1"/>
    <xf numFmtId="0" fontId="7" fillId="0" borderId="0" xfId="0" applyFont="1"/>
    <xf numFmtId="2" fontId="6" fillId="3" borderId="1" xfId="0" applyNumberFormat="1" applyFont="1" applyFill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2" fontId="5" fillId="0" borderId="0" xfId="0" applyNumberFormat="1" applyFont="1"/>
    <xf numFmtId="2" fontId="1" fillId="0" borderId="0" xfId="0" applyNumberFormat="1" applyFont="1"/>
    <xf numFmtId="0" fontId="7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36" sqref="S36"/>
    </sheetView>
  </sheetViews>
  <sheetFormatPr defaultColWidth="8.6640625" defaultRowHeight="14.25" x14ac:dyDescent="0.45"/>
  <cols>
    <col min="1" max="1" width="12.86328125" customWidth="1"/>
    <col min="2" max="2" width="13" customWidth="1"/>
    <col min="3" max="3" width="13.46484375" customWidth="1"/>
    <col min="4" max="4" width="10.19921875" customWidth="1"/>
    <col min="5" max="5" width="9.6640625" customWidth="1"/>
    <col min="6" max="6" width="13.06640625" customWidth="1"/>
    <col min="7" max="7" width="9.6640625" customWidth="1"/>
    <col min="8" max="23" width="17" customWidth="1"/>
  </cols>
  <sheetData>
    <row r="1" spans="1:23" ht="4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>
        <v>1297</v>
      </c>
      <c r="B2" s="2">
        <v>150</v>
      </c>
      <c r="C2" s="2">
        <v>0.65</v>
      </c>
      <c r="D2" s="2">
        <v>5</v>
      </c>
      <c r="E2" s="2">
        <v>1.25</v>
      </c>
      <c r="F2" s="2" t="s">
        <v>23</v>
      </c>
      <c r="G2" s="2">
        <v>4</v>
      </c>
      <c r="H2">
        <v>3.2</v>
      </c>
      <c r="I2">
        <v>1</v>
      </c>
      <c r="J2">
        <v>7.46</v>
      </c>
      <c r="K2">
        <v>5.3</v>
      </c>
      <c r="L2">
        <v>29.88</v>
      </c>
      <c r="M2">
        <v>53.06</v>
      </c>
      <c r="N2">
        <v>1.58</v>
      </c>
      <c r="O2">
        <v>2.2200000000000002</v>
      </c>
      <c r="P2">
        <v>3.71</v>
      </c>
      <c r="Q2">
        <v>3.28</v>
      </c>
      <c r="R2">
        <v>1</v>
      </c>
      <c r="S2">
        <v>1.62</v>
      </c>
      <c r="T2">
        <v>27.66</v>
      </c>
      <c r="U2">
        <v>3.75</v>
      </c>
      <c r="V2">
        <v>2.0099999999999998</v>
      </c>
      <c r="W2">
        <v>1</v>
      </c>
    </row>
    <row r="3" spans="1:23" x14ac:dyDescent="0.45">
      <c r="A3" s="2">
        <v>1298</v>
      </c>
      <c r="B3" s="2">
        <v>150</v>
      </c>
      <c r="C3" s="2">
        <v>0.8</v>
      </c>
      <c r="D3" s="2">
        <v>5</v>
      </c>
      <c r="E3" s="2">
        <v>1.25</v>
      </c>
      <c r="F3" s="2" t="s">
        <v>23</v>
      </c>
      <c r="G3" s="2">
        <v>4</v>
      </c>
      <c r="H3">
        <v>5.04</v>
      </c>
      <c r="I3">
        <v>1</v>
      </c>
      <c r="J3">
        <v>7.62</v>
      </c>
      <c r="K3">
        <v>4.3600000000000003</v>
      </c>
      <c r="L3">
        <v>3.2</v>
      </c>
      <c r="M3">
        <v>30.3</v>
      </c>
      <c r="N3">
        <v>3.42</v>
      </c>
      <c r="O3">
        <v>2.2000000000000002</v>
      </c>
      <c r="P3">
        <v>3.72</v>
      </c>
      <c r="Q3">
        <v>3.13</v>
      </c>
      <c r="R3">
        <v>1</v>
      </c>
      <c r="S3">
        <v>1.62</v>
      </c>
      <c r="T3">
        <v>1</v>
      </c>
      <c r="U3">
        <v>3.9</v>
      </c>
      <c r="V3">
        <v>1.22</v>
      </c>
      <c r="W3">
        <v>1</v>
      </c>
    </row>
    <row r="4" spans="1:23" x14ac:dyDescent="0.45">
      <c r="A4" s="2">
        <v>1299</v>
      </c>
      <c r="B4" s="2">
        <v>90</v>
      </c>
      <c r="C4" s="2">
        <v>0.65</v>
      </c>
      <c r="D4" s="2">
        <v>5</v>
      </c>
      <c r="E4" s="2">
        <v>3.75</v>
      </c>
      <c r="F4" s="2" t="s">
        <v>23</v>
      </c>
      <c r="G4" s="2">
        <v>4</v>
      </c>
      <c r="H4">
        <v>1.96</v>
      </c>
      <c r="I4">
        <v>1</v>
      </c>
      <c r="J4">
        <v>2.4500000000000002</v>
      </c>
      <c r="K4">
        <v>16.690000000000001</v>
      </c>
      <c r="L4">
        <v>9.66</v>
      </c>
      <c r="M4">
        <v>33.159999999999997</v>
      </c>
      <c r="N4">
        <v>1.38</v>
      </c>
      <c r="O4">
        <v>4.84</v>
      </c>
      <c r="P4">
        <v>1.1499999999999999</v>
      </c>
      <c r="Q4">
        <v>8.15</v>
      </c>
      <c r="R4">
        <v>1</v>
      </c>
      <c r="S4">
        <v>0.57999999999999996</v>
      </c>
      <c r="T4">
        <v>4.82</v>
      </c>
      <c r="U4">
        <v>1.3</v>
      </c>
      <c r="V4">
        <v>8.5500000000000007</v>
      </c>
      <c r="W4">
        <v>1</v>
      </c>
    </row>
    <row r="5" spans="1:23" x14ac:dyDescent="0.45">
      <c r="A5" s="2">
        <v>1300</v>
      </c>
      <c r="B5" s="2">
        <v>120</v>
      </c>
      <c r="C5" s="2">
        <v>0.8</v>
      </c>
      <c r="D5" s="2">
        <v>5</v>
      </c>
      <c r="E5" s="2">
        <v>3.75</v>
      </c>
      <c r="F5" s="2" t="s">
        <v>23</v>
      </c>
      <c r="G5" s="2">
        <v>4</v>
      </c>
      <c r="H5">
        <v>2.2799999999999998</v>
      </c>
      <c r="I5">
        <v>1</v>
      </c>
      <c r="J5">
        <v>2.64</v>
      </c>
      <c r="K5">
        <v>16.809999999999999</v>
      </c>
      <c r="L5">
        <v>9.8000000000000007</v>
      </c>
      <c r="M5">
        <v>30.12</v>
      </c>
      <c r="N5">
        <v>1.7</v>
      </c>
      <c r="O5">
        <v>4.9000000000000004</v>
      </c>
      <c r="P5">
        <v>1.29</v>
      </c>
      <c r="Q5">
        <v>8.27</v>
      </c>
      <c r="R5">
        <v>1</v>
      </c>
      <c r="S5">
        <v>0.57999999999999996</v>
      </c>
      <c r="T5">
        <v>4.9000000000000004</v>
      </c>
      <c r="U5">
        <v>1.35</v>
      </c>
      <c r="V5">
        <v>8.5399999999999991</v>
      </c>
      <c r="W5">
        <v>1</v>
      </c>
    </row>
    <row r="6" spans="1:23" x14ac:dyDescent="0.45">
      <c r="A6" s="2">
        <v>1301</v>
      </c>
      <c r="B6" s="2">
        <v>150</v>
      </c>
      <c r="C6" s="2">
        <v>0.5</v>
      </c>
      <c r="D6" s="2">
        <v>5</v>
      </c>
      <c r="E6" s="2">
        <v>3.75</v>
      </c>
      <c r="F6" s="2" t="s">
        <v>23</v>
      </c>
      <c r="G6" s="2">
        <v>4</v>
      </c>
      <c r="H6">
        <v>2.8</v>
      </c>
      <c r="I6">
        <v>1</v>
      </c>
      <c r="J6">
        <v>2.56</v>
      </c>
      <c r="K6">
        <v>16.78</v>
      </c>
      <c r="L6">
        <v>9.7200000000000006</v>
      </c>
      <c r="M6">
        <v>31.06</v>
      </c>
      <c r="N6">
        <v>2.2200000000000002</v>
      </c>
      <c r="O6">
        <v>4.82</v>
      </c>
      <c r="P6">
        <v>1.26</v>
      </c>
      <c r="Q6">
        <v>8.18</v>
      </c>
      <c r="R6">
        <v>1</v>
      </c>
      <c r="S6">
        <v>0.57999999999999996</v>
      </c>
      <c r="T6">
        <v>4.9000000000000004</v>
      </c>
      <c r="U6">
        <v>1.3</v>
      </c>
      <c r="V6">
        <v>8.59</v>
      </c>
      <c r="W6">
        <v>1</v>
      </c>
    </row>
    <row r="7" spans="1:23" x14ac:dyDescent="0.45">
      <c r="A7" s="2">
        <v>1302</v>
      </c>
      <c r="B7" s="2">
        <v>90</v>
      </c>
      <c r="C7" s="2">
        <v>0.95</v>
      </c>
      <c r="D7" s="2">
        <v>5</v>
      </c>
      <c r="E7" s="2">
        <v>1.25</v>
      </c>
      <c r="F7" s="2" t="s">
        <v>23</v>
      </c>
      <c r="G7" s="2">
        <v>4</v>
      </c>
      <c r="H7">
        <v>3.2</v>
      </c>
      <c r="I7">
        <v>1</v>
      </c>
      <c r="J7">
        <v>7.6</v>
      </c>
      <c r="K7">
        <v>4.4000000000000004</v>
      </c>
      <c r="L7">
        <v>3.28</v>
      </c>
      <c r="M7">
        <v>26.94</v>
      </c>
      <c r="N7">
        <v>1.56</v>
      </c>
      <c r="O7">
        <v>2.2799999999999998</v>
      </c>
      <c r="P7">
        <v>3.75</v>
      </c>
      <c r="Q7">
        <v>3.2</v>
      </c>
      <c r="R7">
        <v>1</v>
      </c>
      <c r="S7">
        <v>1.64</v>
      </c>
      <c r="T7">
        <v>1</v>
      </c>
      <c r="U7">
        <v>3.85</v>
      </c>
      <c r="V7">
        <v>1.2</v>
      </c>
      <c r="W7">
        <v>1</v>
      </c>
    </row>
    <row r="8" spans="1:23" x14ac:dyDescent="0.45">
      <c r="A8" s="2">
        <v>1303</v>
      </c>
      <c r="B8" s="2">
        <v>30</v>
      </c>
      <c r="C8" s="2">
        <v>0.5</v>
      </c>
      <c r="D8" s="2">
        <v>5</v>
      </c>
      <c r="E8" s="2">
        <v>3.75</v>
      </c>
      <c r="F8" s="2" t="s">
        <v>23</v>
      </c>
      <c r="G8" s="2">
        <v>4</v>
      </c>
      <c r="H8">
        <v>2.1</v>
      </c>
      <c r="I8">
        <v>1</v>
      </c>
      <c r="J8">
        <v>2.59</v>
      </c>
      <c r="K8">
        <v>16.73</v>
      </c>
      <c r="L8">
        <v>9.66</v>
      </c>
      <c r="M8">
        <v>32.799999999999997</v>
      </c>
      <c r="N8">
        <v>1.5</v>
      </c>
      <c r="O8">
        <v>4.82</v>
      </c>
      <c r="P8">
        <v>1.19</v>
      </c>
      <c r="Q8">
        <v>8.16</v>
      </c>
      <c r="R8">
        <v>1</v>
      </c>
      <c r="S8">
        <v>0.6</v>
      </c>
      <c r="T8">
        <v>4.84</v>
      </c>
      <c r="U8">
        <v>1.4</v>
      </c>
      <c r="V8">
        <v>8.57</v>
      </c>
      <c r="W8">
        <v>1</v>
      </c>
    </row>
    <row r="9" spans="1:23" x14ac:dyDescent="0.45">
      <c r="A9" s="2">
        <v>1304</v>
      </c>
      <c r="B9" s="2">
        <v>90</v>
      </c>
      <c r="C9" s="2">
        <v>0.8</v>
      </c>
      <c r="D9" s="2">
        <v>5</v>
      </c>
      <c r="E9" s="2">
        <v>1.25</v>
      </c>
      <c r="F9" s="2" t="s">
        <v>23</v>
      </c>
      <c r="G9" s="2">
        <v>4</v>
      </c>
      <c r="H9">
        <v>3.46</v>
      </c>
      <c r="I9">
        <v>1</v>
      </c>
      <c r="J9">
        <v>7.69</v>
      </c>
      <c r="K9">
        <v>4.54</v>
      </c>
      <c r="L9">
        <v>3.36</v>
      </c>
      <c r="M9">
        <v>28.24</v>
      </c>
      <c r="N9">
        <v>1.82</v>
      </c>
      <c r="O9">
        <v>2.3199999999999998</v>
      </c>
      <c r="P9">
        <v>3.79</v>
      </c>
      <c r="Q9">
        <v>3.34</v>
      </c>
      <c r="R9">
        <v>1</v>
      </c>
      <c r="S9">
        <v>1.64</v>
      </c>
      <c r="T9">
        <v>1.04</v>
      </c>
      <c r="U9">
        <v>3.9</v>
      </c>
      <c r="V9">
        <v>1.2</v>
      </c>
      <c r="W9">
        <v>1</v>
      </c>
    </row>
    <row r="10" spans="1:23" x14ac:dyDescent="0.45">
      <c r="A10" s="2">
        <v>1305</v>
      </c>
      <c r="B10" s="2">
        <v>90</v>
      </c>
      <c r="C10" s="2">
        <v>0.5</v>
      </c>
      <c r="D10" s="2">
        <v>4</v>
      </c>
      <c r="E10" s="2">
        <v>2</v>
      </c>
      <c r="F10" s="2" t="s">
        <v>23</v>
      </c>
      <c r="G10" s="2">
        <v>4</v>
      </c>
      <c r="H10">
        <v>1.8</v>
      </c>
      <c r="I10">
        <v>1</v>
      </c>
      <c r="J10">
        <v>4.0999999999999996</v>
      </c>
      <c r="K10">
        <v>7.82</v>
      </c>
      <c r="L10">
        <v>5.26</v>
      </c>
      <c r="M10">
        <v>35.26</v>
      </c>
      <c r="N10">
        <v>0.92</v>
      </c>
      <c r="O10">
        <v>3.06</v>
      </c>
      <c r="P10">
        <v>2.0099999999999998</v>
      </c>
      <c r="Q10">
        <v>4.6500000000000004</v>
      </c>
      <c r="R10">
        <v>1</v>
      </c>
      <c r="S10">
        <v>0.88</v>
      </c>
      <c r="T10">
        <v>2.2000000000000002</v>
      </c>
      <c r="U10">
        <v>2.09</v>
      </c>
      <c r="V10">
        <v>3.17</v>
      </c>
      <c r="W10">
        <v>1</v>
      </c>
    </row>
    <row r="11" spans="1:23" x14ac:dyDescent="0.45">
      <c r="A11" s="2">
        <v>1306</v>
      </c>
      <c r="B11" s="2">
        <v>150</v>
      </c>
      <c r="C11" s="2">
        <v>0.65</v>
      </c>
      <c r="D11" s="2">
        <v>5</v>
      </c>
      <c r="E11" s="2">
        <v>1.25</v>
      </c>
      <c r="F11" s="2" t="s">
        <v>23</v>
      </c>
      <c r="G11" s="2">
        <v>5</v>
      </c>
      <c r="H11">
        <v>3.14</v>
      </c>
      <c r="I11">
        <v>1</v>
      </c>
      <c r="J11">
        <v>7.6</v>
      </c>
      <c r="K11">
        <v>4.42</v>
      </c>
      <c r="L11">
        <v>3.3</v>
      </c>
      <c r="M11">
        <v>26.6</v>
      </c>
      <c r="N11">
        <v>1.52</v>
      </c>
      <c r="O11">
        <v>2.2799999999999998</v>
      </c>
      <c r="P11">
        <v>3.7</v>
      </c>
      <c r="Q11">
        <v>3.2</v>
      </c>
      <c r="R11">
        <v>1</v>
      </c>
      <c r="S11">
        <v>1.62</v>
      </c>
      <c r="T11">
        <v>1.02</v>
      </c>
      <c r="U11">
        <v>3.9</v>
      </c>
      <c r="V11">
        <v>1.22</v>
      </c>
      <c r="W11">
        <v>1</v>
      </c>
    </row>
    <row r="12" spans="1:23" x14ac:dyDescent="0.45">
      <c r="A12" s="2">
        <v>1307</v>
      </c>
      <c r="B12" s="2">
        <v>150</v>
      </c>
      <c r="C12" s="2">
        <v>0.8</v>
      </c>
      <c r="D12" s="2">
        <v>5</v>
      </c>
      <c r="E12" s="2">
        <v>1.25</v>
      </c>
      <c r="F12" s="2" t="s">
        <v>23</v>
      </c>
      <c r="G12" s="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45">
      <c r="A13" s="2">
        <v>1308</v>
      </c>
      <c r="B13" s="2">
        <v>90</v>
      </c>
      <c r="C13" s="2">
        <v>0.65</v>
      </c>
      <c r="D13" s="2">
        <v>5</v>
      </c>
      <c r="E13" s="2">
        <v>3.75</v>
      </c>
      <c r="F13" s="2" t="s">
        <v>23</v>
      </c>
      <c r="G13" s="2">
        <v>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45">
      <c r="A14" s="2">
        <v>1309</v>
      </c>
      <c r="B14" s="2">
        <v>120</v>
      </c>
      <c r="C14" s="2">
        <v>0.8</v>
      </c>
      <c r="D14" s="2">
        <v>5</v>
      </c>
      <c r="E14" s="2">
        <v>3.75</v>
      </c>
      <c r="F14" s="2" t="s">
        <v>23</v>
      </c>
      <c r="G14" s="2">
        <v>5</v>
      </c>
      <c r="H14">
        <v>2.3199999999999998</v>
      </c>
      <c r="I14">
        <v>1</v>
      </c>
      <c r="J14">
        <v>2.56</v>
      </c>
      <c r="K14">
        <v>16.670000000000002</v>
      </c>
      <c r="L14">
        <v>9.58</v>
      </c>
      <c r="M14">
        <v>37.22</v>
      </c>
      <c r="N14">
        <v>1.74</v>
      </c>
      <c r="O14">
        <v>4.82</v>
      </c>
      <c r="P14">
        <v>1.31</v>
      </c>
      <c r="Q14">
        <v>8.1</v>
      </c>
      <c r="R14">
        <v>1</v>
      </c>
      <c r="S14">
        <v>0.57999999999999996</v>
      </c>
      <c r="T14">
        <v>4.76</v>
      </c>
      <c r="U14">
        <v>1.25</v>
      </c>
      <c r="V14">
        <v>8.57</v>
      </c>
      <c r="W14">
        <v>1</v>
      </c>
    </row>
    <row r="15" spans="1:23" x14ac:dyDescent="0.45">
      <c r="A15" s="2">
        <v>1310</v>
      </c>
      <c r="B15" s="2">
        <v>150</v>
      </c>
      <c r="C15" s="2">
        <v>0.5</v>
      </c>
      <c r="D15" s="2">
        <v>5</v>
      </c>
      <c r="E15" s="2">
        <v>3.75</v>
      </c>
      <c r="F15" s="2" t="s">
        <v>23</v>
      </c>
      <c r="G15" s="2">
        <v>5</v>
      </c>
      <c r="H15">
        <v>2.12</v>
      </c>
      <c r="I15">
        <v>1</v>
      </c>
      <c r="J15">
        <v>2.5</v>
      </c>
      <c r="K15">
        <v>16.84</v>
      </c>
      <c r="L15">
        <v>9.7200000000000006</v>
      </c>
      <c r="M15">
        <v>29.82</v>
      </c>
      <c r="N15">
        <v>1.54</v>
      </c>
      <c r="O15">
        <v>4.84</v>
      </c>
      <c r="P15">
        <v>1.2</v>
      </c>
      <c r="Q15">
        <v>8.2899999999999991</v>
      </c>
      <c r="R15">
        <v>1</v>
      </c>
      <c r="S15">
        <v>0.57999999999999996</v>
      </c>
      <c r="T15">
        <v>4.88</v>
      </c>
      <c r="U15">
        <v>1.3</v>
      </c>
      <c r="V15">
        <v>8.5500000000000007</v>
      </c>
      <c r="W15">
        <v>1</v>
      </c>
    </row>
    <row r="16" spans="1:23" x14ac:dyDescent="0.45">
      <c r="A16" s="2">
        <v>1311</v>
      </c>
      <c r="B16" s="2">
        <v>90</v>
      </c>
      <c r="C16" s="2">
        <v>0.95</v>
      </c>
      <c r="D16" s="2">
        <v>5</v>
      </c>
      <c r="E16" s="2">
        <v>1.25</v>
      </c>
      <c r="F16" s="2" t="s">
        <v>23</v>
      </c>
      <c r="G16" s="2">
        <v>5</v>
      </c>
      <c r="H16">
        <v>3.5</v>
      </c>
      <c r="I16">
        <v>1</v>
      </c>
      <c r="J16">
        <v>7.71</v>
      </c>
      <c r="K16">
        <v>5.43</v>
      </c>
      <c r="L16">
        <v>24.68</v>
      </c>
      <c r="M16">
        <v>49.32</v>
      </c>
      <c r="N16">
        <v>1.88</v>
      </c>
      <c r="O16">
        <v>2.2200000000000002</v>
      </c>
      <c r="P16">
        <v>3.81</v>
      </c>
      <c r="Q16">
        <v>3.29</v>
      </c>
      <c r="R16">
        <v>1</v>
      </c>
      <c r="S16">
        <v>1.62</v>
      </c>
      <c r="T16">
        <v>22.46</v>
      </c>
      <c r="U16">
        <v>3.9</v>
      </c>
      <c r="V16">
        <v>2.14</v>
      </c>
      <c r="W16">
        <v>1</v>
      </c>
    </row>
    <row r="17" spans="1:23" x14ac:dyDescent="0.45">
      <c r="A17" s="2">
        <v>1312</v>
      </c>
      <c r="B17" s="2">
        <v>30</v>
      </c>
      <c r="C17" s="2">
        <v>0.5</v>
      </c>
      <c r="D17" s="2">
        <v>5</v>
      </c>
      <c r="E17" s="2">
        <v>3.75</v>
      </c>
      <c r="F17" s="2" t="s">
        <v>23</v>
      </c>
      <c r="G17" s="2">
        <v>5</v>
      </c>
      <c r="H17">
        <v>1.78</v>
      </c>
      <c r="I17">
        <v>1</v>
      </c>
      <c r="J17">
        <v>2.65</v>
      </c>
      <c r="K17">
        <v>16.71</v>
      </c>
      <c r="L17">
        <v>9.6999999999999993</v>
      </c>
      <c r="M17">
        <v>32.32</v>
      </c>
      <c r="N17">
        <v>1.18</v>
      </c>
      <c r="O17">
        <v>4.8600000000000003</v>
      </c>
      <c r="P17">
        <v>1.25</v>
      </c>
      <c r="Q17">
        <v>8.15</v>
      </c>
      <c r="R17">
        <v>1</v>
      </c>
      <c r="S17">
        <v>0.6</v>
      </c>
      <c r="T17">
        <v>4.84</v>
      </c>
      <c r="U17">
        <v>1.4</v>
      </c>
      <c r="V17">
        <v>8.56</v>
      </c>
      <c r="W17">
        <v>1</v>
      </c>
    </row>
    <row r="18" spans="1:23" x14ac:dyDescent="0.45">
      <c r="A18" s="2">
        <v>1313</v>
      </c>
      <c r="B18" s="2">
        <v>90</v>
      </c>
      <c r="C18" s="2">
        <v>0.8</v>
      </c>
      <c r="D18" s="2">
        <v>5</v>
      </c>
      <c r="E18" s="2">
        <v>1.25</v>
      </c>
      <c r="F18" s="2" t="s">
        <v>23</v>
      </c>
      <c r="G18" s="2">
        <v>5</v>
      </c>
      <c r="H18">
        <v>3.18</v>
      </c>
      <c r="I18">
        <v>1</v>
      </c>
      <c r="J18">
        <v>7.59</v>
      </c>
      <c r="K18">
        <v>4.4400000000000004</v>
      </c>
      <c r="L18">
        <v>3.26</v>
      </c>
      <c r="M18">
        <v>26.48</v>
      </c>
      <c r="N18">
        <v>1.54</v>
      </c>
      <c r="O18">
        <v>2.2799999999999998</v>
      </c>
      <c r="P18">
        <v>3.75</v>
      </c>
      <c r="Q18">
        <v>3.22</v>
      </c>
      <c r="R18">
        <v>1</v>
      </c>
      <c r="S18">
        <v>1.64</v>
      </c>
      <c r="T18">
        <v>0.98</v>
      </c>
      <c r="U18">
        <v>3.85</v>
      </c>
      <c r="V18">
        <v>1.23</v>
      </c>
      <c r="W18">
        <v>1</v>
      </c>
    </row>
    <row r="19" spans="1:23" x14ac:dyDescent="0.45">
      <c r="A19" s="2">
        <v>1314</v>
      </c>
      <c r="B19" s="2">
        <v>90</v>
      </c>
      <c r="C19" s="2">
        <v>0.5</v>
      </c>
      <c r="D19" s="2">
        <v>4</v>
      </c>
      <c r="E19" s="2">
        <v>2</v>
      </c>
      <c r="F19" s="2" t="s">
        <v>23</v>
      </c>
      <c r="G19" s="2">
        <v>5</v>
      </c>
      <c r="H19">
        <v>1.7</v>
      </c>
      <c r="I19">
        <v>1</v>
      </c>
      <c r="J19">
        <v>3.8</v>
      </c>
      <c r="K19">
        <v>7.84</v>
      </c>
      <c r="L19">
        <v>5.16</v>
      </c>
      <c r="M19">
        <v>26.74</v>
      </c>
      <c r="N19">
        <v>0.82</v>
      </c>
      <c r="O19">
        <v>3.02</v>
      </c>
      <c r="P19">
        <v>1.8</v>
      </c>
      <c r="Q19">
        <v>4.6500000000000004</v>
      </c>
      <c r="R19">
        <v>1</v>
      </c>
      <c r="S19">
        <v>0.88</v>
      </c>
      <c r="T19">
        <v>2.14</v>
      </c>
      <c r="U19">
        <v>2</v>
      </c>
      <c r="V19">
        <v>3.19</v>
      </c>
      <c r="W19">
        <v>1</v>
      </c>
    </row>
    <row r="20" spans="1:23" x14ac:dyDescent="0.45">
      <c r="A20" s="2">
        <v>1315</v>
      </c>
      <c r="B20" s="2">
        <v>150</v>
      </c>
      <c r="C20" s="2">
        <v>0.65</v>
      </c>
      <c r="D20" s="2">
        <v>5</v>
      </c>
      <c r="E20" s="2">
        <v>1.25</v>
      </c>
      <c r="F20" s="2" t="s">
        <v>23</v>
      </c>
      <c r="G20" s="2">
        <v>6</v>
      </c>
      <c r="H20">
        <v>3.66</v>
      </c>
      <c r="I20">
        <v>1</v>
      </c>
      <c r="J20">
        <v>7.57</v>
      </c>
      <c r="K20">
        <v>4.58</v>
      </c>
      <c r="L20">
        <v>3.36</v>
      </c>
      <c r="M20">
        <v>29.12</v>
      </c>
      <c r="N20">
        <v>2.04</v>
      </c>
      <c r="O20">
        <v>2.3199999999999998</v>
      </c>
      <c r="P20">
        <v>3.78</v>
      </c>
      <c r="Q20">
        <v>3.34</v>
      </c>
      <c r="R20">
        <v>1</v>
      </c>
      <c r="S20">
        <v>1.62</v>
      </c>
      <c r="T20">
        <v>1.04</v>
      </c>
      <c r="U20">
        <v>3.8</v>
      </c>
      <c r="V20">
        <v>1.24</v>
      </c>
      <c r="W20">
        <v>1</v>
      </c>
    </row>
    <row r="21" spans="1:23" x14ac:dyDescent="0.45">
      <c r="A21" s="2">
        <v>1316</v>
      </c>
      <c r="B21" s="2">
        <v>150</v>
      </c>
      <c r="C21" s="2">
        <v>0.8</v>
      </c>
      <c r="D21" s="2">
        <v>5</v>
      </c>
      <c r="E21" s="2">
        <v>1.25</v>
      </c>
      <c r="F21" s="2" t="s">
        <v>23</v>
      </c>
      <c r="G21" s="2">
        <v>6</v>
      </c>
      <c r="H21">
        <v>3.16</v>
      </c>
      <c r="I21">
        <v>1</v>
      </c>
      <c r="J21">
        <v>7.65</v>
      </c>
      <c r="K21">
        <v>4.58</v>
      </c>
      <c r="L21">
        <v>3.38</v>
      </c>
      <c r="M21">
        <v>26.82</v>
      </c>
      <c r="N21">
        <v>1.54</v>
      </c>
      <c r="O21">
        <v>2.3199999999999998</v>
      </c>
      <c r="P21">
        <v>3.75</v>
      </c>
      <c r="Q21">
        <v>3.26</v>
      </c>
      <c r="R21">
        <v>1</v>
      </c>
      <c r="S21">
        <v>1.62</v>
      </c>
      <c r="T21">
        <v>1.06</v>
      </c>
      <c r="U21">
        <v>3.9</v>
      </c>
      <c r="V21">
        <v>1.31</v>
      </c>
      <c r="W21">
        <v>1</v>
      </c>
    </row>
    <row r="22" spans="1:23" x14ac:dyDescent="0.45">
      <c r="A22" s="2">
        <v>1317</v>
      </c>
      <c r="B22" s="2">
        <v>90</v>
      </c>
      <c r="C22" s="2">
        <v>0.65</v>
      </c>
      <c r="D22" s="2">
        <v>5</v>
      </c>
      <c r="E22" s="2">
        <v>3.75</v>
      </c>
      <c r="F22" s="2" t="s">
        <v>23</v>
      </c>
      <c r="G22" s="2">
        <v>6</v>
      </c>
      <c r="H22">
        <v>1.54</v>
      </c>
      <c r="I22">
        <v>1</v>
      </c>
      <c r="J22">
        <v>2.66</v>
      </c>
      <c r="K22">
        <v>16.71</v>
      </c>
      <c r="L22">
        <v>9.6999999999999993</v>
      </c>
      <c r="M22">
        <v>29.24</v>
      </c>
      <c r="N22">
        <v>0.94</v>
      </c>
      <c r="O22">
        <v>4.8600000000000003</v>
      </c>
      <c r="P22">
        <v>1.26</v>
      </c>
      <c r="Q22">
        <v>8.15</v>
      </c>
      <c r="R22">
        <v>1</v>
      </c>
      <c r="S22">
        <v>0.6</v>
      </c>
      <c r="T22">
        <v>4.84</v>
      </c>
      <c r="U22">
        <v>1.4</v>
      </c>
      <c r="V22">
        <v>8.56</v>
      </c>
      <c r="W22">
        <v>1</v>
      </c>
    </row>
    <row r="23" spans="1:23" x14ac:dyDescent="0.45">
      <c r="A23" s="2">
        <v>1318</v>
      </c>
      <c r="B23" s="2">
        <v>120</v>
      </c>
      <c r="C23" s="2">
        <v>0.8</v>
      </c>
      <c r="D23" s="2">
        <v>5</v>
      </c>
      <c r="E23" s="2">
        <v>3.75</v>
      </c>
      <c r="F23" s="2" t="s">
        <v>23</v>
      </c>
      <c r="G23" s="2">
        <v>6</v>
      </c>
      <c r="H23">
        <v>1.1200000000000001</v>
      </c>
      <c r="I23">
        <v>1</v>
      </c>
      <c r="J23">
        <v>2.37</v>
      </c>
      <c r="K23">
        <v>16.79</v>
      </c>
      <c r="L23">
        <v>9.64</v>
      </c>
      <c r="M23">
        <v>29.46</v>
      </c>
      <c r="N23">
        <v>0.54</v>
      </c>
      <c r="O23">
        <v>4.74</v>
      </c>
      <c r="P23">
        <v>1.07</v>
      </c>
      <c r="Q23">
        <v>8.24</v>
      </c>
      <c r="R23">
        <v>1</v>
      </c>
      <c r="S23">
        <v>0.57999999999999996</v>
      </c>
      <c r="T23">
        <v>4.9000000000000004</v>
      </c>
      <c r="U23">
        <v>1.3</v>
      </c>
      <c r="V23">
        <v>8.5500000000000007</v>
      </c>
      <c r="W23">
        <v>1</v>
      </c>
    </row>
    <row r="24" spans="1:23" x14ac:dyDescent="0.45">
      <c r="A24" s="2">
        <v>1319</v>
      </c>
      <c r="B24" s="2">
        <v>150</v>
      </c>
      <c r="C24" s="2">
        <v>0.5</v>
      </c>
      <c r="D24" s="2">
        <v>5</v>
      </c>
      <c r="E24" s="2">
        <v>3.75</v>
      </c>
      <c r="F24" s="2" t="s">
        <v>23</v>
      </c>
      <c r="G24" s="2">
        <v>6</v>
      </c>
      <c r="H24">
        <v>1.1200000000000001</v>
      </c>
      <c r="I24">
        <v>1</v>
      </c>
      <c r="J24">
        <v>2.33</v>
      </c>
      <c r="K24">
        <v>16.579999999999998</v>
      </c>
      <c r="L24">
        <v>9.6199999999999992</v>
      </c>
      <c r="M24">
        <v>33.200000000000003</v>
      </c>
      <c r="N24">
        <v>0.54</v>
      </c>
      <c r="O24">
        <v>4.78</v>
      </c>
      <c r="P24">
        <v>1.08</v>
      </c>
      <c r="Q24">
        <v>8.16</v>
      </c>
      <c r="R24">
        <v>1</v>
      </c>
      <c r="S24">
        <v>0.57999999999999996</v>
      </c>
      <c r="T24">
        <v>4.84</v>
      </c>
      <c r="U24">
        <v>1.25</v>
      </c>
      <c r="V24">
        <v>8.42</v>
      </c>
      <c r="W24">
        <v>1</v>
      </c>
    </row>
    <row r="25" spans="1:23" x14ac:dyDescent="0.45">
      <c r="A25" s="2">
        <v>1320</v>
      </c>
      <c r="B25" s="2">
        <v>90</v>
      </c>
      <c r="C25" s="2">
        <v>0.95</v>
      </c>
      <c r="D25" s="2">
        <v>5</v>
      </c>
      <c r="E25" s="2">
        <v>1.25</v>
      </c>
      <c r="F25" s="2" t="s">
        <v>23</v>
      </c>
      <c r="G25" s="2">
        <v>6</v>
      </c>
      <c r="H25">
        <v>3.38</v>
      </c>
      <c r="I25">
        <v>1</v>
      </c>
      <c r="J25">
        <v>7.71</v>
      </c>
      <c r="K25">
        <v>5.32</v>
      </c>
      <c r="L25">
        <v>8.7200000000000006</v>
      </c>
      <c r="M25">
        <v>33.32</v>
      </c>
      <c r="N25">
        <v>1.76</v>
      </c>
      <c r="O25">
        <v>2.2400000000000002</v>
      </c>
      <c r="P25">
        <v>3.81</v>
      </c>
      <c r="Q25">
        <v>3.21</v>
      </c>
      <c r="R25">
        <v>1</v>
      </c>
      <c r="S25">
        <v>1.62</v>
      </c>
      <c r="T25">
        <v>6.48</v>
      </c>
      <c r="U25">
        <v>3.9</v>
      </c>
      <c r="V25">
        <v>2.11</v>
      </c>
      <c r="W25">
        <v>1</v>
      </c>
    </row>
    <row r="26" spans="1:23" x14ac:dyDescent="0.45">
      <c r="A26" s="2">
        <v>1321</v>
      </c>
      <c r="B26" s="2">
        <v>30</v>
      </c>
      <c r="C26" s="2">
        <v>0.5</v>
      </c>
      <c r="D26" s="2">
        <v>5</v>
      </c>
      <c r="E26" s="2">
        <v>3.75</v>
      </c>
      <c r="F26" s="2" t="s">
        <v>23</v>
      </c>
      <c r="G26" s="2">
        <v>6</v>
      </c>
      <c r="H26">
        <v>1.72</v>
      </c>
      <c r="I26">
        <v>1</v>
      </c>
      <c r="J26">
        <v>2.54</v>
      </c>
      <c r="K26">
        <v>16.73</v>
      </c>
      <c r="L26">
        <v>9.66</v>
      </c>
      <c r="M26">
        <v>36.96</v>
      </c>
      <c r="N26">
        <v>1.1200000000000001</v>
      </c>
      <c r="O26">
        <v>4.84</v>
      </c>
      <c r="P26">
        <v>1.24</v>
      </c>
      <c r="Q26">
        <v>8.19</v>
      </c>
      <c r="R26">
        <v>1</v>
      </c>
      <c r="S26">
        <v>0.6</v>
      </c>
      <c r="T26">
        <v>4.82</v>
      </c>
      <c r="U26">
        <v>1.3</v>
      </c>
      <c r="V26">
        <v>8.5500000000000007</v>
      </c>
      <c r="W26">
        <v>1</v>
      </c>
    </row>
    <row r="27" spans="1:23" x14ac:dyDescent="0.45">
      <c r="A27" s="2">
        <v>1322</v>
      </c>
      <c r="B27" s="2">
        <v>90</v>
      </c>
      <c r="C27" s="2">
        <v>0.8</v>
      </c>
      <c r="D27" s="2">
        <v>5</v>
      </c>
      <c r="E27" s="2">
        <v>1.25</v>
      </c>
      <c r="F27" s="2" t="s">
        <v>23</v>
      </c>
      <c r="G27" s="2">
        <v>6</v>
      </c>
      <c r="H27">
        <v>3.58</v>
      </c>
      <c r="I27">
        <v>1</v>
      </c>
      <c r="J27">
        <v>7.58</v>
      </c>
      <c r="K27">
        <v>4.45</v>
      </c>
      <c r="L27">
        <v>3.16</v>
      </c>
      <c r="M27">
        <v>28.58</v>
      </c>
      <c r="N27">
        <v>1.94</v>
      </c>
      <c r="O27">
        <v>2.1800000000000002</v>
      </c>
      <c r="P27">
        <v>3.78</v>
      </c>
      <c r="Q27">
        <v>3.21</v>
      </c>
      <c r="R27">
        <v>1</v>
      </c>
      <c r="S27">
        <v>1.64</v>
      </c>
      <c r="T27">
        <v>0.98</v>
      </c>
      <c r="U27">
        <v>3.8</v>
      </c>
      <c r="V27">
        <v>1.24</v>
      </c>
      <c r="W27">
        <v>1</v>
      </c>
    </row>
    <row r="28" spans="1:23" x14ac:dyDescent="0.45">
      <c r="A28" s="2">
        <v>1323</v>
      </c>
      <c r="B28" s="2">
        <v>90</v>
      </c>
      <c r="C28" s="2">
        <v>0.5</v>
      </c>
      <c r="D28" s="2">
        <v>4</v>
      </c>
      <c r="E28" s="2">
        <v>2</v>
      </c>
      <c r="F28" s="2" t="s">
        <v>23</v>
      </c>
      <c r="G28" s="2">
        <v>6</v>
      </c>
      <c r="H28">
        <v>1.76</v>
      </c>
      <c r="I28">
        <v>1</v>
      </c>
      <c r="J28">
        <v>3.88</v>
      </c>
      <c r="K28">
        <v>7.93</v>
      </c>
      <c r="L28">
        <v>5.12</v>
      </c>
      <c r="M28">
        <v>35.5</v>
      </c>
      <c r="N28">
        <v>0.88</v>
      </c>
      <c r="O28">
        <v>3.02</v>
      </c>
      <c r="P28">
        <v>1.89</v>
      </c>
      <c r="Q28">
        <v>4.7699999999999996</v>
      </c>
      <c r="R28">
        <v>1</v>
      </c>
      <c r="S28">
        <v>0.88</v>
      </c>
      <c r="T28">
        <v>2.1</v>
      </c>
      <c r="U28">
        <v>1.99</v>
      </c>
      <c r="V28">
        <v>3.15</v>
      </c>
      <c r="W28">
        <v>1</v>
      </c>
    </row>
    <row r="29" spans="1:23" x14ac:dyDescent="0.45">
      <c r="A29" s="2">
        <v>1324</v>
      </c>
      <c r="B29" s="2">
        <v>150</v>
      </c>
      <c r="C29" s="2">
        <v>0.65</v>
      </c>
      <c r="D29" s="2">
        <v>5</v>
      </c>
      <c r="E29" s="2">
        <v>1.25</v>
      </c>
      <c r="F29" s="2" t="s">
        <v>23</v>
      </c>
      <c r="G29" s="2">
        <v>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45">
      <c r="A30" s="2">
        <v>1325</v>
      </c>
      <c r="B30" s="2">
        <v>150</v>
      </c>
      <c r="C30" s="2">
        <v>0.8</v>
      </c>
      <c r="D30" s="2">
        <v>5</v>
      </c>
      <c r="E30" s="2">
        <v>1.25</v>
      </c>
      <c r="F30" s="2" t="s">
        <v>23</v>
      </c>
      <c r="G30" s="2">
        <v>7</v>
      </c>
      <c r="H30">
        <v>3.18</v>
      </c>
      <c r="I30">
        <v>1</v>
      </c>
      <c r="J30">
        <v>7.64</v>
      </c>
      <c r="K30">
        <v>4.54</v>
      </c>
      <c r="L30">
        <v>3.26</v>
      </c>
      <c r="M30">
        <v>26.12</v>
      </c>
      <c r="N30">
        <v>1.56</v>
      </c>
      <c r="O30">
        <v>2.2400000000000002</v>
      </c>
      <c r="P30">
        <v>3.74</v>
      </c>
      <c r="Q30">
        <v>3.32</v>
      </c>
      <c r="R30">
        <v>1</v>
      </c>
      <c r="S30">
        <v>1.62</v>
      </c>
      <c r="T30">
        <v>1.02</v>
      </c>
      <c r="U30">
        <v>3.9</v>
      </c>
      <c r="V30">
        <v>1.22</v>
      </c>
      <c r="W30">
        <v>1</v>
      </c>
    </row>
    <row r="31" spans="1:23" x14ac:dyDescent="0.45">
      <c r="A31" s="2">
        <v>1326</v>
      </c>
      <c r="B31" s="2">
        <v>90</v>
      </c>
      <c r="C31" s="2">
        <v>0.65</v>
      </c>
      <c r="D31" s="2">
        <v>5</v>
      </c>
      <c r="E31" s="2">
        <v>3.75</v>
      </c>
      <c r="F31" s="2" t="s">
        <v>23</v>
      </c>
      <c r="G31" s="2">
        <v>7</v>
      </c>
      <c r="H31">
        <v>1.6</v>
      </c>
      <c r="I31">
        <v>1</v>
      </c>
      <c r="J31">
        <v>2.57</v>
      </c>
      <c r="K31">
        <v>16.68</v>
      </c>
      <c r="L31">
        <v>9.6999999999999993</v>
      </c>
      <c r="M31">
        <v>32.08</v>
      </c>
      <c r="N31">
        <v>1.02</v>
      </c>
      <c r="O31">
        <v>4.84</v>
      </c>
      <c r="P31">
        <v>1.27</v>
      </c>
      <c r="Q31">
        <v>8.11</v>
      </c>
      <c r="R31">
        <v>1</v>
      </c>
      <c r="S31">
        <v>0.57999999999999996</v>
      </c>
      <c r="T31">
        <v>4.8600000000000003</v>
      </c>
      <c r="U31">
        <v>1.3</v>
      </c>
      <c r="V31">
        <v>8.57</v>
      </c>
      <c r="W31">
        <v>1</v>
      </c>
    </row>
    <row r="32" spans="1:23" x14ac:dyDescent="0.45">
      <c r="A32" s="2">
        <v>1327</v>
      </c>
      <c r="B32" s="2">
        <v>120</v>
      </c>
      <c r="C32" s="2">
        <v>0.8</v>
      </c>
      <c r="D32" s="2">
        <v>5</v>
      </c>
      <c r="E32" s="2">
        <v>3.75</v>
      </c>
      <c r="F32" s="2" t="s">
        <v>23</v>
      </c>
      <c r="G32" s="2">
        <v>7</v>
      </c>
      <c r="H32">
        <v>1.1000000000000001</v>
      </c>
      <c r="I32">
        <v>1</v>
      </c>
      <c r="J32">
        <v>2.4500000000000002</v>
      </c>
      <c r="K32">
        <v>16.63</v>
      </c>
      <c r="L32">
        <v>9.5</v>
      </c>
      <c r="M32">
        <v>33.159999999999997</v>
      </c>
      <c r="N32">
        <v>0.52</v>
      </c>
      <c r="O32">
        <v>4.72</v>
      </c>
      <c r="P32">
        <v>1.1499999999999999</v>
      </c>
      <c r="Q32">
        <v>8.0299999999999994</v>
      </c>
      <c r="R32">
        <v>1</v>
      </c>
      <c r="S32">
        <v>0.57999999999999996</v>
      </c>
      <c r="T32">
        <v>4.78</v>
      </c>
      <c r="U32">
        <v>1.3</v>
      </c>
      <c r="V32">
        <v>8.6</v>
      </c>
      <c r="W32">
        <v>1</v>
      </c>
    </row>
    <row r="33" spans="1:23" x14ac:dyDescent="0.45">
      <c r="A33" s="2">
        <v>1328</v>
      </c>
      <c r="B33" s="2">
        <v>150</v>
      </c>
      <c r="C33" s="2">
        <v>0.5</v>
      </c>
      <c r="D33" s="2">
        <v>5</v>
      </c>
      <c r="E33" s="2">
        <v>3.75</v>
      </c>
      <c r="F33" s="2" t="s">
        <v>23</v>
      </c>
      <c r="G33" s="2">
        <v>7</v>
      </c>
      <c r="H33">
        <v>1.34</v>
      </c>
      <c r="I33">
        <v>1</v>
      </c>
      <c r="J33">
        <v>2.44</v>
      </c>
      <c r="K33">
        <v>16.66</v>
      </c>
      <c r="L33">
        <v>9.7200000000000006</v>
      </c>
      <c r="M33">
        <v>31.78</v>
      </c>
      <c r="N33">
        <v>0.76</v>
      </c>
      <c r="O33">
        <v>4.82</v>
      </c>
      <c r="P33">
        <v>1.19</v>
      </c>
      <c r="Q33">
        <v>8.1199999999999992</v>
      </c>
      <c r="R33">
        <v>1</v>
      </c>
      <c r="S33">
        <v>0.57999999999999996</v>
      </c>
      <c r="T33">
        <v>4.9000000000000004</v>
      </c>
      <c r="U33">
        <v>1.25</v>
      </c>
      <c r="V33">
        <v>8.5399999999999991</v>
      </c>
      <c r="W33">
        <v>1</v>
      </c>
    </row>
    <row r="34" spans="1:23" x14ac:dyDescent="0.45">
      <c r="A34" s="2">
        <v>1329</v>
      </c>
      <c r="B34" s="2">
        <v>90</v>
      </c>
      <c r="C34" s="2">
        <v>0.95</v>
      </c>
      <c r="D34" s="2">
        <v>5</v>
      </c>
      <c r="E34" s="2">
        <v>1.25</v>
      </c>
      <c r="F34" s="2" t="s">
        <v>23</v>
      </c>
      <c r="G34" s="2">
        <v>7</v>
      </c>
      <c r="H34">
        <v>3.26</v>
      </c>
      <c r="I34">
        <v>1</v>
      </c>
      <c r="J34">
        <v>7.68</v>
      </c>
      <c r="K34">
        <v>5.39</v>
      </c>
      <c r="L34">
        <v>9.9</v>
      </c>
      <c r="M34">
        <v>35.94</v>
      </c>
      <c r="N34">
        <v>1.64</v>
      </c>
      <c r="O34">
        <v>2.2999999999999998</v>
      </c>
      <c r="P34">
        <v>3.78</v>
      </c>
      <c r="Q34">
        <v>3.37</v>
      </c>
      <c r="R34">
        <v>1</v>
      </c>
      <c r="S34">
        <v>1.62</v>
      </c>
      <c r="T34">
        <v>7.6</v>
      </c>
      <c r="U34">
        <v>3.9</v>
      </c>
      <c r="V34">
        <v>2.02</v>
      </c>
      <c r="W34">
        <v>1</v>
      </c>
    </row>
    <row r="35" spans="1:23" x14ac:dyDescent="0.45">
      <c r="A35" s="2">
        <v>1330</v>
      </c>
      <c r="B35" s="2">
        <v>30</v>
      </c>
      <c r="C35" s="2">
        <v>0.5</v>
      </c>
      <c r="D35" s="2">
        <v>5</v>
      </c>
      <c r="E35" s="2">
        <v>3.75</v>
      </c>
      <c r="F35" s="2" t="s">
        <v>23</v>
      </c>
      <c r="G35" s="2">
        <v>7</v>
      </c>
      <c r="H35">
        <v>1.5</v>
      </c>
      <c r="I35">
        <v>1</v>
      </c>
      <c r="J35">
        <v>2.58</v>
      </c>
      <c r="K35">
        <v>16.64</v>
      </c>
      <c r="L35">
        <v>9.6</v>
      </c>
      <c r="M35">
        <v>29</v>
      </c>
      <c r="N35">
        <v>0.9</v>
      </c>
      <c r="O35">
        <v>4.74</v>
      </c>
      <c r="P35">
        <v>1.18</v>
      </c>
      <c r="Q35">
        <v>8.0500000000000007</v>
      </c>
      <c r="R35">
        <v>1</v>
      </c>
      <c r="S35">
        <v>0.6</v>
      </c>
      <c r="T35">
        <v>4.8600000000000003</v>
      </c>
      <c r="U35">
        <v>1.4</v>
      </c>
      <c r="V35">
        <v>8.59</v>
      </c>
      <c r="W35">
        <v>1</v>
      </c>
    </row>
    <row r="36" spans="1:23" x14ac:dyDescent="0.45">
      <c r="A36" s="2">
        <v>1331</v>
      </c>
      <c r="B36" s="2">
        <v>90</v>
      </c>
      <c r="C36" s="2">
        <v>0.8</v>
      </c>
      <c r="D36" s="2">
        <v>5</v>
      </c>
      <c r="E36" s="2">
        <v>1.25</v>
      </c>
      <c r="F36" s="2" t="s">
        <v>23</v>
      </c>
      <c r="G36" s="2">
        <v>7</v>
      </c>
      <c r="H36">
        <v>3.18</v>
      </c>
      <c r="I36">
        <v>1</v>
      </c>
      <c r="J36">
        <v>7.59</v>
      </c>
      <c r="K36">
        <v>4.38</v>
      </c>
      <c r="L36">
        <v>3.28</v>
      </c>
      <c r="M36">
        <v>26.24</v>
      </c>
      <c r="N36">
        <v>1.54</v>
      </c>
      <c r="O36">
        <v>2.2599999999999998</v>
      </c>
      <c r="P36">
        <v>3.75</v>
      </c>
      <c r="Q36">
        <v>3.18</v>
      </c>
      <c r="R36">
        <v>1</v>
      </c>
      <c r="S36">
        <v>1.64</v>
      </c>
      <c r="T36">
        <v>1.02</v>
      </c>
      <c r="U36">
        <v>3.85</v>
      </c>
      <c r="V36">
        <v>1.2</v>
      </c>
      <c r="W36">
        <v>1</v>
      </c>
    </row>
    <row r="37" spans="1:23" x14ac:dyDescent="0.45">
      <c r="A37" s="2">
        <v>1332</v>
      </c>
      <c r="B37" s="2">
        <v>90</v>
      </c>
      <c r="C37" s="2">
        <v>0.5</v>
      </c>
      <c r="D37" s="2">
        <v>4</v>
      </c>
      <c r="E37" s="2">
        <v>2</v>
      </c>
      <c r="F37" s="2" t="s">
        <v>23</v>
      </c>
      <c r="G37" s="2">
        <v>7</v>
      </c>
      <c r="H37">
        <v>1.82</v>
      </c>
      <c r="I37">
        <v>1</v>
      </c>
      <c r="J37">
        <v>4.04</v>
      </c>
      <c r="K37">
        <v>7.7</v>
      </c>
      <c r="L37">
        <v>5.04</v>
      </c>
      <c r="M37">
        <v>31.2</v>
      </c>
      <c r="N37">
        <v>0.92</v>
      </c>
      <c r="O37">
        <v>3</v>
      </c>
      <c r="P37">
        <v>1.99</v>
      </c>
      <c r="Q37">
        <v>4.5999999999999996</v>
      </c>
      <c r="R37">
        <v>1</v>
      </c>
      <c r="S37">
        <v>0.9</v>
      </c>
      <c r="T37">
        <v>2.04</v>
      </c>
      <c r="U37">
        <v>2.04</v>
      </c>
      <c r="V37">
        <v>3.1</v>
      </c>
      <c r="W37">
        <v>1</v>
      </c>
    </row>
    <row r="38" spans="1:23" x14ac:dyDescent="0.45">
      <c r="A38" s="2">
        <v>1333</v>
      </c>
      <c r="B38" s="2">
        <v>150</v>
      </c>
      <c r="C38" s="2">
        <v>0.65</v>
      </c>
      <c r="D38" s="2">
        <v>5</v>
      </c>
      <c r="E38" s="2">
        <v>1.25</v>
      </c>
      <c r="F38" s="2" t="s">
        <v>23</v>
      </c>
      <c r="G38" s="2">
        <v>8</v>
      </c>
      <c r="H38">
        <v>3.34</v>
      </c>
      <c r="I38">
        <v>1</v>
      </c>
      <c r="J38">
        <v>7.63</v>
      </c>
      <c r="K38">
        <v>5.23</v>
      </c>
      <c r="L38">
        <v>9.84</v>
      </c>
      <c r="M38">
        <v>34.159999999999997</v>
      </c>
      <c r="N38">
        <v>1.74</v>
      </c>
      <c r="O38">
        <v>2.2400000000000002</v>
      </c>
      <c r="P38">
        <v>3.78</v>
      </c>
      <c r="Q38">
        <v>3.14</v>
      </c>
      <c r="R38">
        <v>1</v>
      </c>
      <c r="S38">
        <v>1.6</v>
      </c>
      <c r="T38">
        <v>7.6</v>
      </c>
      <c r="U38">
        <v>3.85</v>
      </c>
      <c r="V38">
        <v>2.1</v>
      </c>
      <c r="W38">
        <v>1</v>
      </c>
    </row>
    <row r="39" spans="1:23" x14ac:dyDescent="0.45">
      <c r="A39" s="2">
        <v>1334</v>
      </c>
      <c r="B39" s="2">
        <v>150</v>
      </c>
      <c r="C39" s="2">
        <v>0.8</v>
      </c>
      <c r="D39" s="2">
        <v>5</v>
      </c>
      <c r="E39" s="2">
        <v>1.25</v>
      </c>
      <c r="F39" s="2" t="s">
        <v>23</v>
      </c>
      <c r="G39" s="2">
        <v>8</v>
      </c>
      <c r="H39">
        <v>3.22</v>
      </c>
      <c r="I39">
        <v>1</v>
      </c>
      <c r="J39">
        <v>7.64</v>
      </c>
      <c r="K39">
        <v>5.36</v>
      </c>
      <c r="L39">
        <v>29.92</v>
      </c>
      <c r="M39">
        <v>53.78</v>
      </c>
      <c r="N39">
        <v>1.6</v>
      </c>
      <c r="O39">
        <v>2.2599999999999998</v>
      </c>
      <c r="P39">
        <v>3.74</v>
      </c>
      <c r="Q39">
        <v>3.3</v>
      </c>
      <c r="R39">
        <v>1</v>
      </c>
      <c r="S39">
        <v>1.62</v>
      </c>
      <c r="T39">
        <v>27.66</v>
      </c>
      <c r="U39">
        <v>3.9</v>
      </c>
      <c r="V39">
        <v>2.06</v>
      </c>
      <c r="W39">
        <v>1</v>
      </c>
    </row>
    <row r="40" spans="1:23" x14ac:dyDescent="0.45">
      <c r="A40" s="2">
        <v>1335</v>
      </c>
      <c r="B40" s="2">
        <v>90</v>
      </c>
      <c r="C40" s="2">
        <v>0.65</v>
      </c>
      <c r="D40" s="2">
        <v>5</v>
      </c>
      <c r="E40" s="2">
        <v>3.75</v>
      </c>
      <c r="F40" s="2" t="s">
        <v>23</v>
      </c>
      <c r="G40" s="2">
        <v>8</v>
      </c>
      <c r="H40">
        <v>1.62</v>
      </c>
      <c r="I40">
        <v>1</v>
      </c>
      <c r="J40">
        <v>2.54</v>
      </c>
      <c r="K40">
        <v>16.71</v>
      </c>
      <c r="L40">
        <v>9.52</v>
      </c>
      <c r="M40">
        <v>38.68</v>
      </c>
      <c r="N40">
        <v>1.02</v>
      </c>
      <c r="O40">
        <v>4.72</v>
      </c>
      <c r="P40">
        <v>1.1399999999999999</v>
      </c>
      <c r="Q40">
        <v>8.15</v>
      </c>
      <c r="R40">
        <v>1</v>
      </c>
      <c r="S40">
        <v>0.6</v>
      </c>
      <c r="T40">
        <v>4.8</v>
      </c>
      <c r="U40">
        <v>1.4</v>
      </c>
      <c r="V40">
        <v>8.56</v>
      </c>
      <c r="W40">
        <v>1</v>
      </c>
    </row>
    <row r="41" spans="1:23" x14ac:dyDescent="0.45">
      <c r="A41" s="2">
        <v>1336</v>
      </c>
      <c r="B41" s="2">
        <v>120</v>
      </c>
      <c r="C41" s="2">
        <v>0.8</v>
      </c>
      <c r="D41" s="2">
        <v>5</v>
      </c>
      <c r="E41" s="2">
        <v>3.75</v>
      </c>
      <c r="F41" s="2" t="s">
        <v>23</v>
      </c>
      <c r="G41" s="2">
        <v>8</v>
      </c>
      <c r="H41">
        <v>1.34</v>
      </c>
      <c r="I41">
        <v>1</v>
      </c>
      <c r="J41">
        <v>2.5299999999999998</v>
      </c>
      <c r="K41">
        <v>16.760000000000002</v>
      </c>
      <c r="L41">
        <v>9.66</v>
      </c>
      <c r="M41">
        <v>28.96</v>
      </c>
      <c r="N41">
        <v>0.76</v>
      </c>
      <c r="O41">
        <v>4.8</v>
      </c>
      <c r="P41">
        <v>1.23</v>
      </c>
      <c r="Q41">
        <v>8.17</v>
      </c>
      <c r="R41">
        <v>1</v>
      </c>
      <c r="S41">
        <v>0.57999999999999996</v>
      </c>
      <c r="T41">
        <v>4.8600000000000003</v>
      </c>
      <c r="U41">
        <v>1.3</v>
      </c>
      <c r="V41">
        <v>8.59</v>
      </c>
      <c r="W41">
        <v>1</v>
      </c>
    </row>
    <row r="42" spans="1:23" x14ac:dyDescent="0.45">
      <c r="A42" s="2">
        <v>1337</v>
      </c>
      <c r="B42" s="2">
        <v>150</v>
      </c>
      <c r="C42" s="2">
        <v>0.5</v>
      </c>
      <c r="D42" s="2">
        <v>5</v>
      </c>
      <c r="E42" s="2">
        <v>3.75</v>
      </c>
      <c r="F42" s="2" t="s">
        <v>23</v>
      </c>
      <c r="G42" s="2">
        <v>8</v>
      </c>
      <c r="H42">
        <v>1.6</v>
      </c>
      <c r="I42">
        <v>1</v>
      </c>
      <c r="J42">
        <v>2.41</v>
      </c>
      <c r="K42">
        <v>16.84</v>
      </c>
      <c r="L42">
        <v>9.64</v>
      </c>
      <c r="M42">
        <v>28.94</v>
      </c>
      <c r="N42">
        <v>1.02</v>
      </c>
      <c r="O42">
        <v>4.74</v>
      </c>
      <c r="P42">
        <v>1.1599999999999999</v>
      </c>
      <c r="Q42">
        <v>8.23</v>
      </c>
      <c r="R42">
        <v>1</v>
      </c>
      <c r="S42">
        <v>0.57999999999999996</v>
      </c>
      <c r="T42">
        <v>4.9000000000000004</v>
      </c>
      <c r="U42">
        <v>1.25</v>
      </c>
      <c r="V42">
        <v>8.61</v>
      </c>
      <c r="W42">
        <v>1</v>
      </c>
    </row>
    <row r="43" spans="1:23" x14ac:dyDescent="0.45">
      <c r="A43" s="2">
        <v>1338</v>
      </c>
      <c r="B43" s="2">
        <v>90</v>
      </c>
      <c r="C43" s="2">
        <v>0.95</v>
      </c>
      <c r="D43" s="2">
        <v>5</v>
      </c>
      <c r="E43" s="2">
        <v>1.25</v>
      </c>
      <c r="F43" s="2" t="s">
        <v>23</v>
      </c>
      <c r="G43" s="2">
        <v>8</v>
      </c>
      <c r="H43">
        <v>3.16</v>
      </c>
      <c r="I43">
        <v>1</v>
      </c>
      <c r="J43">
        <v>7.5</v>
      </c>
      <c r="K43">
        <v>4.38</v>
      </c>
      <c r="L43">
        <v>3.3</v>
      </c>
      <c r="M43">
        <v>26.46</v>
      </c>
      <c r="N43">
        <v>1.54</v>
      </c>
      <c r="O43">
        <v>2.2599999999999998</v>
      </c>
      <c r="P43">
        <v>3.7</v>
      </c>
      <c r="Q43">
        <v>3.16</v>
      </c>
      <c r="R43">
        <v>1</v>
      </c>
      <c r="S43">
        <v>1.62</v>
      </c>
      <c r="T43">
        <v>1.04</v>
      </c>
      <c r="U43">
        <v>3.8</v>
      </c>
      <c r="V43">
        <v>1.22</v>
      </c>
      <c r="W43">
        <v>1</v>
      </c>
    </row>
    <row r="44" spans="1:23" x14ac:dyDescent="0.45">
      <c r="A44" s="2">
        <v>1339</v>
      </c>
      <c r="B44" s="2">
        <v>30</v>
      </c>
      <c r="C44" s="2">
        <v>0.5</v>
      </c>
      <c r="D44" s="2">
        <v>5</v>
      </c>
      <c r="E44" s="2">
        <v>3.75</v>
      </c>
      <c r="F44" s="2" t="s">
        <v>23</v>
      </c>
      <c r="G44" s="2">
        <v>8</v>
      </c>
      <c r="H44">
        <v>1.72</v>
      </c>
      <c r="I44">
        <v>1</v>
      </c>
      <c r="J44">
        <v>2.6</v>
      </c>
      <c r="K44">
        <v>16.75</v>
      </c>
      <c r="L44">
        <v>9.66</v>
      </c>
      <c r="M44">
        <v>29.2</v>
      </c>
      <c r="N44">
        <v>1.1200000000000001</v>
      </c>
      <c r="O44">
        <v>4.88</v>
      </c>
      <c r="P44">
        <v>1.25</v>
      </c>
      <c r="Q44">
        <v>8.24</v>
      </c>
      <c r="R44">
        <v>1</v>
      </c>
      <c r="S44">
        <v>0.6</v>
      </c>
      <c r="T44">
        <v>4.78</v>
      </c>
      <c r="U44">
        <v>1.35</v>
      </c>
      <c r="V44">
        <v>8.51</v>
      </c>
      <c r="W44">
        <v>1</v>
      </c>
    </row>
    <row r="45" spans="1:23" x14ac:dyDescent="0.45">
      <c r="A45" s="2">
        <v>1340</v>
      </c>
      <c r="B45" s="2">
        <v>90</v>
      </c>
      <c r="C45" s="2">
        <v>0.8</v>
      </c>
      <c r="D45" s="2">
        <v>5</v>
      </c>
      <c r="E45" s="2">
        <v>1.25</v>
      </c>
      <c r="F45" s="2" t="s">
        <v>23</v>
      </c>
      <c r="G45" s="2">
        <v>8</v>
      </c>
      <c r="H45">
        <v>3.18</v>
      </c>
      <c r="I45">
        <v>1</v>
      </c>
      <c r="J45">
        <v>7.5</v>
      </c>
      <c r="K45">
        <v>4.47</v>
      </c>
      <c r="L45">
        <v>3.28</v>
      </c>
      <c r="M45">
        <v>26.28</v>
      </c>
      <c r="N45">
        <v>1.56</v>
      </c>
      <c r="O45">
        <v>2.2000000000000002</v>
      </c>
      <c r="P45">
        <v>3.7</v>
      </c>
      <c r="Q45">
        <v>3.15</v>
      </c>
      <c r="R45">
        <v>1</v>
      </c>
      <c r="S45">
        <v>1.62</v>
      </c>
      <c r="T45">
        <v>1.08</v>
      </c>
      <c r="U45">
        <v>3.8</v>
      </c>
      <c r="V45">
        <v>1.32</v>
      </c>
      <c r="W45">
        <v>1</v>
      </c>
    </row>
    <row r="46" spans="1:23" x14ac:dyDescent="0.45">
      <c r="A46" s="2">
        <v>1341</v>
      </c>
      <c r="B46" s="2">
        <v>90</v>
      </c>
      <c r="C46" s="2">
        <v>0.5</v>
      </c>
      <c r="D46" s="2">
        <v>4</v>
      </c>
      <c r="E46" s="2">
        <v>2</v>
      </c>
      <c r="F46" s="2" t="s">
        <v>23</v>
      </c>
      <c r="G46" s="2">
        <v>8</v>
      </c>
      <c r="H46">
        <v>2.3199999999999998</v>
      </c>
      <c r="I46">
        <v>1</v>
      </c>
      <c r="J46">
        <v>3.99</v>
      </c>
      <c r="K46">
        <v>7.84</v>
      </c>
      <c r="L46">
        <v>5.0999999999999996</v>
      </c>
      <c r="M46">
        <v>33.5</v>
      </c>
      <c r="N46">
        <v>1.42</v>
      </c>
      <c r="O46">
        <v>2.98</v>
      </c>
      <c r="P46">
        <v>2</v>
      </c>
      <c r="Q46">
        <v>4.67</v>
      </c>
      <c r="R46">
        <v>1</v>
      </c>
      <c r="S46">
        <v>0.9</v>
      </c>
      <c r="T46">
        <v>2.12</v>
      </c>
      <c r="U46">
        <v>1.99</v>
      </c>
      <c r="V46">
        <v>3.17</v>
      </c>
      <c r="W46">
        <v>1</v>
      </c>
    </row>
    <row r="47" spans="1:23" x14ac:dyDescent="0.45">
      <c r="A47" s="2">
        <v>1342</v>
      </c>
      <c r="B47" s="2">
        <v>150</v>
      </c>
      <c r="C47" s="2">
        <v>0.65</v>
      </c>
      <c r="D47" s="2">
        <v>5</v>
      </c>
      <c r="E47" s="2">
        <v>1.25</v>
      </c>
      <c r="F47" s="2" t="s">
        <v>23</v>
      </c>
      <c r="G47" s="2">
        <v>9</v>
      </c>
      <c r="H47">
        <v>3.94</v>
      </c>
      <c r="I47">
        <v>1</v>
      </c>
      <c r="J47">
        <v>7.48</v>
      </c>
      <c r="K47">
        <v>4.54</v>
      </c>
      <c r="L47">
        <v>3.42</v>
      </c>
      <c r="M47">
        <v>33.54</v>
      </c>
      <c r="N47">
        <v>2.3199999999999998</v>
      </c>
      <c r="O47">
        <v>2.4</v>
      </c>
      <c r="P47">
        <v>3.69</v>
      </c>
      <c r="Q47">
        <v>3.32</v>
      </c>
      <c r="R47">
        <v>1</v>
      </c>
      <c r="S47">
        <v>1.62</v>
      </c>
      <c r="T47">
        <v>1.02</v>
      </c>
      <c r="U47">
        <v>3.8</v>
      </c>
      <c r="V47">
        <v>1.22</v>
      </c>
      <c r="W47">
        <v>1</v>
      </c>
    </row>
    <row r="48" spans="1:23" x14ac:dyDescent="0.45">
      <c r="A48" s="2">
        <v>1343</v>
      </c>
      <c r="B48" s="2">
        <v>150</v>
      </c>
      <c r="C48" s="2">
        <v>0.8</v>
      </c>
      <c r="D48" s="2">
        <v>5</v>
      </c>
      <c r="E48" s="2">
        <v>1.25</v>
      </c>
      <c r="F48" s="2" t="s">
        <v>23</v>
      </c>
      <c r="G48" s="2">
        <v>9</v>
      </c>
      <c r="H48">
        <v>3.16</v>
      </c>
      <c r="I48">
        <v>1</v>
      </c>
      <c r="J48">
        <v>7.65</v>
      </c>
      <c r="K48">
        <v>5.61</v>
      </c>
      <c r="L48">
        <v>31.06</v>
      </c>
      <c r="M48">
        <v>62.36</v>
      </c>
      <c r="N48">
        <v>1.56</v>
      </c>
      <c r="O48">
        <v>2.2599999999999998</v>
      </c>
      <c r="P48">
        <v>3.75</v>
      </c>
      <c r="Q48">
        <v>3.3</v>
      </c>
      <c r="R48">
        <v>1</v>
      </c>
      <c r="S48">
        <v>1.6</v>
      </c>
      <c r="T48">
        <v>28.8</v>
      </c>
      <c r="U48">
        <v>3.9</v>
      </c>
      <c r="V48">
        <v>2.31</v>
      </c>
      <c r="W48">
        <v>1</v>
      </c>
    </row>
    <row r="49" spans="1:23" x14ac:dyDescent="0.45">
      <c r="A49" s="2">
        <v>1344</v>
      </c>
      <c r="B49" s="2">
        <v>90</v>
      </c>
      <c r="C49" s="2">
        <v>0.65</v>
      </c>
      <c r="D49" s="2">
        <v>5</v>
      </c>
      <c r="E49" s="2">
        <v>3.75</v>
      </c>
      <c r="F49" s="2" t="s">
        <v>23</v>
      </c>
      <c r="G49" s="2">
        <v>9</v>
      </c>
      <c r="H49">
        <v>1.82</v>
      </c>
      <c r="I49">
        <v>1</v>
      </c>
      <c r="J49">
        <v>2.5</v>
      </c>
      <c r="K49">
        <v>16.71</v>
      </c>
      <c r="L49">
        <v>9.58</v>
      </c>
      <c r="M49">
        <v>38.96</v>
      </c>
      <c r="N49">
        <v>1.22</v>
      </c>
      <c r="O49">
        <v>4.76</v>
      </c>
      <c r="P49">
        <v>1.1499999999999999</v>
      </c>
      <c r="Q49">
        <v>8.17</v>
      </c>
      <c r="R49">
        <v>1</v>
      </c>
      <c r="S49">
        <v>0.6</v>
      </c>
      <c r="T49">
        <v>4.82</v>
      </c>
      <c r="U49">
        <v>1.35</v>
      </c>
      <c r="V49">
        <v>8.5399999999999991</v>
      </c>
      <c r="W49">
        <v>1</v>
      </c>
    </row>
    <row r="50" spans="1:23" x14ac:dyDescent="0.45">
      <c r="A50" s="2">
        <v>1345</v>
      </c>
      <c r="B50" s="2">
        <v>120</v>
      </c>
      <c r="C50" s="2">
        <v>0.8</v>
      </c>
      <c r="D50" s="2">
        <v>5</v>
      </c>
      <c r="E50" s="2">
        <v>3.75</v>
      </c>
      <c r="F50" s="2" t="s">
        <v>23</v>
      </c>
      <c r="G50" s="2">
        <v>9</v>
      </c>
      <c r="H50">
        <v>1.38</v>
      </c>
      <c r="I50">
        <v>1</v>
      </c>
      <c r="J50">
        <v>2.54</v>
      </c>
      <c r="K50">
        <v>16.77</v>
      </c>
      <c r="L50">
        <v>9.68</v>
      </c>
      <c r="M50">
        <v>29.84</v>
      </c>
      <c r="N50">
        <v>0.8</v>
      </c>
      <c r="O50">
        <v>4.84</v>
      </c>
      <c r="P50">
        <v>1.19</v>
      </c>
      <c r="Q50">
        <v>8.17</v>
      </c>
      <c r="R50">
        <v>1</v>
      </c>
      <c r="S50">
        <v>0.57999999999999996</v>
      </c>
      <c r="T50">
        <v>4.84</v>
      </c>
      <c r="U50">
        <v>1.35</v>
      </c>
      <c r="V50">
        <v>8.59</v>
      </c>
      <c r="W50">
        <v>1</v>
      </c>
    </row>
    <row r="51" spans="1:23" x14ac:dyDescent="0.45">
      <c r="A51" s="2">
        <v>1346</v>
      </c>
      <c r="B51" s="2">
        <v>150</v>
      </c>
      <c r="C51" s="2">
        <v>0.5</v>
      </c>
      <c r="D51" s="2">
        <v>5</v>
      </c>
      <c r="E51" s="2">
        <v>3.75</v>
      </c>
      <c r="F51" s="2" t="s">
        <v>23</v>
      </c>
      <c r="G51" s="2">
        <v>9</v>
      </c>
      <c r="H51">
        <v>1.32</v>
      </c>
      <c r="I51">
        <v>1</v>
      </c>
      <c r="J51">
        <v>2.4300000000000002</v>
      </c>
      <c r="K51">
        <v>16.600000000000001</v>
      </c>
      <c r="L51">
        <v>9.66</v>
      </c>
      <c r="M51">
        <v>28.64</v>
      </c>
      <c r="N51">
        <v>0.74</v>
      </c>
      <c r="O51">
        <v>4.82</v>
      </c>
      <c r="P51">
        <v>1.18</v>
      </c>
      <c r="Q51">
        <v>8.1199999999999992</v>
      </c>
      <c r="R51">
        <v>1</v>
      </c>
      <c r="S51">
        <v>0.57999999999999996</v>
      </c>
      <c r="T51">
        <v>4.84</v>
      </c>
      <c r="U51">
        <v>1.25</v>
      </c>
      <c r="V51">
        <v>8.48</v>
      </c>
      <c r="W51">
        <v>1</v>
      </c>
    </row>
    <row r="52" spans="1:23" x14ac:dyDescent="0.45">
      <c r="A52" s="2">
        <v>1347</v>
      </c>
      <c r="B52" s="2">
        <v>90</v>
      </c>
      <c r="C52" s="2">
        <v>0.95</v>
      </c>
      <c r="D52" s="2">
        <v>5</v>
      </c>
      <c r="E52" s="2">
        <v>1.25</v>
      </c>
      <c r="F52" s="2" t="s">
        <v>23</v>
      </c>
      <c r="G52" s="2">
        <v>9</v>
      </c>
      <c r="H52">
        <v>3.14</v>
      </c>
      <c r="I52">
        <v>1</v>
      </c>
      <c r="J52">
        <v>7.5</v>
      </c>
      <c r="K52">
        <v>4.59</v>
      </c>
      <c r="L52">
        <v>3.44</v>
      </c>
      <c r="M52">
        <v>26.56</v>
      </c>
      <c r="N52">
        <v>1.52</v>
      </c>
      <c r="O52">
        <v>2.36</v>
      </c>
      <c r="P52">
        <v>3.7</v>
      </c>
      <c r="Q52">
        <v>3.26</v>
      </c>
      <c r="R52">
        <v>1</v>
      </c>
      <c r="S52">
        <v>1.62</v>
      </c>
      <c r="T52">
        <v>1.08</v>
      </c>
      <c r="U52">
        <v>3.8</v>
      </c>
      <c r="V52">
        <v>1.33</v>
      </c>
      <c r="W52">
        <v>1</v>
      </c>
    </row>
    <row r="53" spans="1:23" x14ac:dyDescent="0.45">
      <c r="A53" s="2">
        <v>1348</v>
      </c>
      <c r="B53" s="2">
        <v>30</v>
      </c>
      <c r="C53" s="2">
        <v>0.5</v>
      </c>
      <c r="D53" s="2">
        <v>5</v>
      </c>
      <c r="E53" s="2">
        <v>3.75</v>
      </c>
      <c r="F53" s="2" t="s">
        <v>23</v>
      </c>
      <c r="G53" s="2">
        <v>9</v>
      </c>
      <c r="H53">
        <v>1.54</v>
      </c>
      <c r="I53">
        <v>1</v>
      </c>
      <c r="J53">
        <v>2.5099999999999998</v>
      </c>
      <c r="K53">
        <v>16.54</v>
      </c>
      <c r="L53">
        <v>9.58</v>
      </c>
      <c r="M53">
        <v>28.96</v>
      </c>
      <c r="N53">
        <v>0.94</v>
      </c>
      <c r="O53">
        <v>4.8600000000000003</v>
      </c>
      <c r="P53">
        <v>1.26</v>
      </c>
      <c r="Q53">
        <v>8.15</v>
      </c>
      <c r="R53">
        <v>1</v>
      </c>
      <c r="S53">
        <v>0.6</v>
      </c>
      <c r="T53">
        <v>4.72</v>
      </c>
      <c r="U53">
        <v>1.25</v>
      </c>
      <c r="V53">
        <v>8.39</v>
      </c>
      <c r="W53">
        <v>1</v>
      </c>
    </row>
    <row r="54" spans="1:23" x14ac:dyDescent="0.45">
      <c r="A54" s="2">
        <v>1349</v>
      </c>
      <c r="B54" s="2">
        <v>90</v>
      </c>
      <c r="C54" s="2">
        <v>0.8</v>
      </c>
      <c r="D54" s="2">
        <v>5</v>
      </c>
      <c r="E54" s="2">
        <v>1.25</v>
      </c>
      <c r="F54" s="2" t="s">
        <v>23</v>
      </c>
      <c r="G54" s="2">
        <v>9</v>
      </c>
      <c r="H54">
        <v>3.42</v>
      </c>
      <c r="I54">
        <v>1</v>
      </c>
      <c r="J54">
        <v>7.6</v>
      </c>
      <c r="K54">
        <v>4.3099999999999996</v>
      </c>
      <c r="L54">
        <v>3.44</v>
      </c>
      <c r="M54">
        <v>31.52</v>
      </c>
      <c r="N54">
        <v>1.78</v>
      </c>
      <c r="O54">
        <v>2.4</v>
      </c>
      <c r="P54">
        <v>3.75</v>
      </c>
      <c r="Q54">
        <v>3.11</v>
      </c>
      <c r="R54">
        <v>1</v>
      </c>
      <c r="S54">
        <v>1.64</v>
      </c>
      <c r="T54">
        <v>1.04</v>
      </c>
      <c r="U54">
        <v>3.85</v>
      </c>
      <c r="V54">
        <v>1.2</v>
      </c>
      <c r="W54">
        <v>1</v>
      </c>
    </row>
    <row r="55" spans="1:23" x14ac:dyDescent="0.45">
      <c r="A55" s="2">
        <v>1350</v>
      </c>
      <c r="B55" s="2">
        <v>90</v>
      </c>
      <c r="C55" s="2">
        <v>0.5</v>
      </c>
      <c r="D55" s="2">
        <v>4</v>
      </c>
      <c r="E55" s="2">
        <v>2</v>
      </c>
      <c r="F55" s="2" t="s">
        <v>23</v>
      </c>
      <c r="G55" s="2">
        <v>9</v>
      </c>
      <c r="H55">
        <v>2.1</v>
      </c>
      <c r="I55">
        <v>1</v>
      </c>
      <c r="J55">
        <v>4.0199999999999996</v>
      </c>
      <c r="K55">
        <v>7.91</v>
      </c>
      <c r="L55">
        <v>5.0999999999999996</v>
      </c>
      <c r="M55">
        <v>33.659999999999997</v>
      </c>
      <c r="N55">
        <v>1.2</v>
      </c>
      <c r="O55">
        <v>3</v>
      </c>
      <c r="P55">
        <v>1.98</v>
      </c>
      <c r="Q55">
        <v>4.76</v>
      </c>
      <c r="R55">
        <v>1</v>
      </c>
      <c r="S55">
        <v>0.9</v>
      </c>
      <c r="T55">
        <v>2.1</v>
      </c>
      <c r="U55">
        <v>2.04</v>
      </c>
      <c r="V55">
        <v>3.15</v>
      </c>
      <c r="W55">
        <v>1</v>
      </c>
    </row>
    <row r="56" spans="1:23" x14ac:dyDescent="0.45">
      <c r="A56" s="2">
        <v>1351</v>
      </c>
      <c r="B56" s="2">
        <v>150</v>
      </c>
      <c r="C56" s="2">
        <v>0.65</v>
      </c>
      <c r="D56" s="2">
        <v>5</v>
      </c>
      <c r="E56" s="2">
        <v>1.25</v>
      </c>
      <c r="F56" s="2" t="s">
        <v>23</v>
      </c>
      <c r="G56" s="2">
        <v>10</v>
      </c>
      <c r="H56">
        <v>3.18</v>
      </c>
      <c r="I56">
        <v>1</v>
      </c>
      <c r="J56">
        <v>7.69</v>
      </c>
      <c r="K56">
        <v>4.51</v>
      </c>
      <c r="L56">
        <v>3.26</v>
      </c>
      <c r="M56">
        <v>26.16</v>
      </c>
      <c r="N56">
        <v>1.56</v>
      </c>
      <c r="O56">
        <v>2.2599999999999998</v>
      </c>
      <c r="P56">
        <v>3.79</v>
      </c>
      <c r="Q56">
        <v>3.29</v>
      </c>
      <c r="R56">
        <v>1</v>
      </c>
      <c r="S56">
        <v>1.62</v>
      </c>
      <c r="T56">
        <v>1</v>
      </c>
      <c r="U56">
        <v>3.9</v>
      </c>
      <c r="V56">
        <v>1.21</v>
      </c>
      <c r="W56">
        <v>1</v>
      </c>
    </row>
    <row r="57" spans="1:23" x14ac:dyDescent="0.45">
      <c r="A57" s="2">
        <v>1352</v>
      </c>
      <c r="B57" s="2">
        <v>150</v>
      </c>
      <c r="C57" s="2">
        <v>0.8</v>
      </c>
      <c r="D57" s="2">
        <v>5</v>
      </c>
      <c r="E57" s="2">
        <v>1.25</v>
      </c>
      <c r="F57" s="2" t="s">
        <v>23</v>
      </c>
      <c r="G57" s="2">
        <v>10</v>
      </c>
      <c r="H57">
        <v>3.16</v>
      </c>
      <c r="I57">
        <v>1</v>
      </c>
      <c r="J57">
        <v>7.5</v>
      </c>
      <c r="K57">
        <v>4.57</v>
      </c>
      <c r="L57">
        <v>3.36</v>
      </c>
      <c r="M57">
        <v>26.58</v>
      </c>
      <c r="N57">
        <v>1.54</v>
      </c>
      <c r="O57">
        <v>2.2799999999999998</v>
      </c>
      <c r="P57">
        <v>3.7</v>
      </c>
      <c r="Q57">
        <v>3.25</v>
      </c>
      <c r="R57">
        <v>1</v>
      </c>
      <c r="S57">
        <v>1.62</v>
      </c>
      <c r="T57">
        <v>1.08</v>
      </c>
      <c r="U57">
        <v>3.8</v>
      </c>
      <c r="V57">
        <v>1.32</v>
      </c>
      <c r="W57">
        <v>1</v>
      </c>
    </row>
    <row r="58" spans="1:23" x14ac:dyDescent="0.45">
      <c r="A58" s="2">
        <v>1353</v>
      </c>
      <c r="B58" s="2">
        <v>90</v>
      </c>
      <c r="C58" s="2">
        <v>0.65</v>
      </c>
      <c r="D58" s="2">
        <v>5</v>
      </c>
      <c r="E58" s="2">
        <v>3.75</v>
      </c>
      <c r="F58" s="2" t="s">
        <v>23</v>
      </c>
      <c r="G58" s="2">
        <v>10</v>
      </c>
      <c r="H58">
        <v>1.24</v>
      </c>
      <c r="I58">
        <v>1</v>
      </c>
      <c r="J58">
        <v>2.36</v>
      </c>
      <c r="K58">
        <v>16.690000000000001</v>
      </c>
      <c r="L58">
        <v>9.6</v>
      </c>
      <c r="M58">
        <v>33.520000000000003</v>
      </c>
      <c r="N58">
        <v>0.66</v>
      </c>
      <c r="O58">
        <v>4.8</v>
      </c>
      <c r="P58">
        <v>1.1100000000000001</v>
      </c>
      <c r="Q58">
        <v>8.16</v>
      </c>
      <c r="R58">
        <v>1</v>
      </c>
      <c r="S58">
        <v>0.57999999999999996</v>
      </c>
      <c r="T58">
        <v>4.8</v>
      </c>
      <c r="U58">
        <v>1.25</v>
      </c>
      <c r="V58">
        <v>8.52</v>
      </c>
      <c r="W58">
        <v>1</v>
      </c>
    </row>
    <row r="59" spans="1:23" x14ac:dyDescent="0.45">
      <c r="A59" s="2">
        <v>1354</v>
      </c>
      <c r="B59" s="2">
        <v>120</v>
      </c>
      <c r="C59" s="2">
        <v>0.8</v>
      </c>
      <c r="D59" s="2">
        <v>5</v>
      </c>
      <c r="E59" s="2">
        <v>3.75</v>
      </c>
      <c r="F59" s="2" t="s">
        <v>23</v>
      </c>
      <c r="G59" s="2">
        <v>10</v>
      </c>
      <c r="H59">
        <v>1.9</v>
      </c>
      <c r="I59">
        <v>1</v>
      </c>
      <c r="J59">
        <v>2.59</v>
      </c>
      <c r="K59">
        <v>16.64</v>
      </c>
      <c r="L59">
        <v>9.64</v>
      </c>
      <c r="M59">
        <v>32.82</v>
      </c>
      <c r="N59">
        <v>1.32</v>
      </c>
      <c r="O59">
        <v>4.8600000000000003</v>
      </c>
      <c r="P59">
        <v>1.29</v>
      </c>
      <c r="Q59">
        <v>8.16</v>
      </c>
      <c r="R59">
        <v>1</v>
      </c>
      <c r="S59">
        <v>0.57999999999999996</v>
      </c>
      <c r="T59">
        <v>4.78</v>
      </c>
      <c r="U59">
        <v>1.3</v>
      </c>
      <c r="V59">
        <v>8.48</v>
      </c>
      <c r="W59">
        <v>1</v>
      </c>
    </row>
    <row r="60" spans="1:23" x14ac:dyDescent="0.45">
      <c r="A60" s="2">
        <v>1355</v>
      </c>
      <c r="B60" s="2">
        <v>150</v>
      </c>
      <c r="C60" s="2">
        <v>0.5</v>
      </c>
      <c r="D60" s="2">
        <v>5</v>
      </c>
      <c r="E60" s="2">
        <v>3.75</v>
      </c>
      <c r="F60" s="2" t="s">
        <v>23</v>
      </c>
      <c r="G60" s="2">
        <v>10</v>
      </c>
      <c r="H60">
        <v>1.62</v>
      </c>
      <c r="I60">
        <v>1</v>
      </c>
      <c r="J60">
        <v>2.4500000000000002</v>
      </c>
      <c r="K60">
        <v>16.75</v>
      </c>
      <c r="L60">
        <v>9.6199999999999992</v>
      </c>
      <c r="M60">
        <v>40.06</v>
      </c>
      <c r="N60">
        <v>1.04</v>
      </c>
      <c r="O60">
        <v>4.82</v>
      </c>
      <c r="P60">
        <v>1.1499999999999999</v>
      </c>
      <c r="Q60">
        <v>8.2200000000000006</v>
      </c>
      <c r="R60">
        <v>1</v>
      </c>
      <c r="S60">
        <v>0.57999999999999996</v>
      </c>
      <c r="T60">
        <v>4.8</v>
      </c>
      <c r="U60">
        <v>1.3</v>
      </c>
      <c r="V60">
        <v>8.5299999999999994</v>
      </c>
      <c r="W60">
        <v>1</v>
      </c>
    </row>
    <row r="61" spans="1:23" x14ac:dyDescent="0.45">
      <c r="A61" s="2">
        <v>1356</v>
      </c>
      <c r="B61" s="2">
        <v>90</v>
      </c>
      <c r="C61" s="2">
        <v>0.95</v>
      </c>
      <c r="D61" s="2">
        <v>5</v>
      </c>
      <c r="E61" s="2">
        <v>1.25</v>
      </c>
      <c r="F61" s="2" t="s">
        <v>23</v>
      </c>
      <c r="G61" s="2">
        <v>10</v>
      </c>
      <c r="H61">
        <v>3.4</v>
      </c>
      <c r="I61">
        <v>1</v>
      </c>
      <c r="J61">
        <v>7.59</v>
      </c>
      <c r="K61">
        <v>5.41</v>
      </c>
      <c r="L61">
        <v>3.54</v>
      </c>
      <c r="M61">
        <v>33.28</v>
      </c>
      <c r="N61">
        <v>1.78</v>
      </c>
      <c r="O61">
        <v>2.2200000000000002</v>
      </c>
      <c r="P61">
        <v>3.75</v>
      </c>
      <c r="Q61">
        <v>3.29</v>
      </c>
      <c r="R61">
        <v>1</v>
      </c>
      <c r="S61">
        <v>1.62</v>
      </c>
      <c r="T61">
        <v>1.32</v>
      </c>
      <c r="U61">
        <v>3.85</v>
      </c>
      <c r="V61">
        <v>2.12</v>
      </c>
      <c r="W61">
        <v>1</v>
      </c>
    </row>
    <row r="62" spans="1:23" x14ac:dyDescent="0.45">
      <c r="A62" s="2">
        <v>1357</v>
      </c>
      <c r="B62" s="2">
        <v>30</v>
      </c>
      <c r="C62" s="2">
        <v>0.5</v>
      </c>
      <c r="D62" s="2">
        <v>5</v>
      </c>
      <c r="E62" s="2">
        <v>3.75</v>
      </c>
      <c r="F62" s="2" t="s">
        <v>23</v>
      </c>
      <c r="G62" s="2">
        <v>10</v>
      </c>
      <c r="H62">
        <v>1.26</v>
      </c>
      <c r="I62">
        <v>1</v>
      </c>
      <c r="J62">
        <v>2.54</v>
      </c>
      <c r="K62">
        <v>16.670000000000002</v>
      </c>
      <c r="L62">
        <v>9.6999999999999993</v>
      </c>
      <c r="M62">
        <v>28.64</v>
      </c>
      <c r="N62">
        <v>0.66</v>
      </c>
      <c r="O62">
        <v>4.92</v>
      </c>
      <c r="P62">
        <v>1.19</v>
      </c>
      <c r="Q62">
        <v>8.16</v>
      </c>
      <c r="R62">
        <v>1</v>
      </c>
      <c r="S62">
        <v>0.6</v>
      </c>
      <c r="T62">
        <v>4.78</v>
      </c>
      <c r="U62">
        <v>1.35</v>
      </c>
      <c r="V62">
        <v>8.51</v>
      </c>
      <c r="W62">
        <v>1</v>
      </c>
    </row>
    <row r="63" spans="1:23" x14ac:dyDescent="0.45">
      <c r="A63" s="2">
        <v>1358</v>
      </c>
      <c r="B63" s="2">
        <v>90</v>
      </c>
      <c r="C63" s="2">
        <v>0.8</v>
      </c>
      <c r="D63" s="2">
        <v>5</v>
      </c>
      <c r="E63" s="2">
        <v>1.25</v>
      </c>
      <c r="F63" s="2" t="s">
        <v>23</v>
      </c>
      <c r="G63" s="2">
        <v>10</v>
      </c>
      <c r="H63">
        <v>3.76</v>
      </c>
      <c r="I63">
        <v>1</v>
      </c>
      <c r="J63">
        <v>7.64</v>
      </c>
      <c r="K63">
        <v>4.6500000000000004</v>
      </c>
      <c r="L63">
        <v>3.34</v>
      </c>
      <c r="M63">
        <v>29.1</v>
      </c>
      <c r="N63">
        <v>2.14</v>
      </c>
      <c r="O63">
        <v>2.2400000000000002</v>
      </c>
      <c r="P63">
        <v>3.89</v>
      </c>
      <c r="Q63">
        <v>3.31</v>
      </c>
      <c r="R63">
        <v>1</v>
      </c>
      <c r="S63">
        <v>1.62</v>
      </c>
      <c r="T63">
        <v>1.1000000000000001</v>
      </c>
      <c r="U63">
        <v>3.75</v>
      </c>
      <c r="V63">
        <v>1.35</v>
      </c>
      <c r="W63">
        <v>1</v>
      </c>
    </row>
    <row r="64" spans="1:23" x14ac:dyDescent="0.45">
      <c r="A64" s="2">
        <v>1359</v>
      </c>
      <c r="B64" s="2">
        <v>90</v>
      </c>
      <c r="C64" s="2">
        <v>0.5</v>
      </c>
      <c r="D64" s="2">
        <v>4</v>
      </c>
      <c r="E64" s="2">
        <v>2</v>
      </c>
      <c r="F64" s="2" t="s">
        <v>23</v>
      </c>
      <c r="G64" s="2">
        <v>10</v>
      </c>
      <c r="H64">
        <v>1.7</v>
      </c>
      <c r="I64">
        <v>1</v>
      </c>
      <c r="J64">
        <v>3.89</v>
      </c>
      <c r="K64">
        <v>7.84</v>
      </c>
      <c r="L64">
        <v>5.18</v>
      </c>
      <c r="M64">
        <v>26.78</v>
      </c>
      <c r="N64">
        <v>0.82</v>
      </c>
      <c r="O64">
        <v>3.08</v>
      </c>
      <c r="P64">
        <v>1.85</v>
      </c>
      <c r="Q64">
        <v>4.7</v>
      </c>
      <c r="R64">
        <v>1</v>
      </c>
      <c r="S64">
        <v>0.88</v>
      </c>
      <c r="T64">
        <v>2.1</v>
      </c>
      <c r="U64">
        <v>2.0499999999999998</v>
      </c>
      <c r="V64">
        <v>3.13</v>
      </c>
      <c r="W64">
        <v>1</v>
      </c>
    </row>
    <row r="65" spans="1:23" x14ac:dyDescent="0.45">
      <c r="A65" s="2">
        <v>1360</v>
      </c>
      <c r="B65" s="2">
        <v>150</v>
      </c>
      <c r="C65" s="2">
        <v>0.65</v>
      </c>
      <c r="D65" s="2">
        <v>5</v>
      </c>
      <c r="E65" s="2">
        <v>1.25</v>
      </c>
      <c r="F65" s="2" t="s">
        <v>23</v>
      </c>
      <c r="G65" s="2">
        <v>11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45">
      <c r="A66" s="2">
        <v>1361</v>
      </c>
      <c r="B66" s="2">
        <v>150</v>
      </c>
      <c r="C66" s="2">
        <v>0.8</v>
      </c>
      <c r="D66" s="2">
        <v>5</v>
      </c>
      <c r="E66" s="2">
        <v>1.25</v>
      </c>
      <c r="F66" s="2" t="s">
        <v>23</v>
      </c>
      <c r="G66" s="2">
        <v>11</v>
      </c>
      <c r="H66">
        <v>3.14</v>
      </c>
      <c r="I66">
        <v>1</v>
      </c>
      <c r="J66">
        <v>7.6</v>
      </c>
      <c r="K66">
        <v>4.3899999999999997</v>
      </c>
      <c r="L66">
        <v>3.26</v>
      </c>
      <c r="M66">
        <v>26.46</v>
      </c>
      <c r="N66">
        <v>1.52</v>
      </c>
      <c r="O66">
        <v>2.2599999999999998</v>
      </c>
      <c r="P66">
        <v>3.7</v>
      </c>
      <c r="Q66">
        <v>3.19</v>
      </c>
      <c r="R66">
        <v>1</v>
      </c>
      <c r="S66">
        <v>1.62</v>
      </c>
      <c r="T66">
        <v>1</v>
      </c>
      <c r="U66">
        <v>3.9</v>
      </c>
      <c r="V66">
        <v>1.2</v>
      </c>
      <c r="W66">
        <v>1</v>
      </c>
    </row>
    <row r="67" spans="1:23" x14ac:dyDescent="0.45">
      <c r="A67" s="2">
        <v>1362</v>
      </c>
      <c r="B67" s="2">
        <v>90</v>
      </c>
      <c r="C67" s="2">
        <v>0.65</v>
      </c>
      <c r="D67" s="2">
        <v>5</v>
      </c>
      <c r="E67" s="2">
        <v>3.75</v>
      </c>
      <c r="F67" s="2" t="s">
        <v>23</v>
      </c>
      <c r="G67" s="2">
        <v>11</v>
      </c>
      <c r="H67">
        <v>1.98</v>
      </c>
      <c r="I67">
        <v>1</v>
      </c>
      <c r="J67">
        <v>2.52</v>
      </c>
      <c r="K67">
        <v>16.61</v>
      </c>
      <c r="L67">
        <v>9.6</v>
      </c>
      <c r="M67">
        <v>33.200000000000003</v>
      </c>
      <c r="N67">
        <v>1.38</v>
      </c>
      <c r="O67">
        <v>4.8</v>
      </c>
      <c r="P67">
        <v>1.22</v>
      </c>
      <c r="Q67">
        <v>8.09</v>
      </c>
      <c r="R67">
        <v>1</v>
      </c>
      <c r="S67">
        <v>0.6</v>
      </c>
      <c r="T67">
        <v>4.8</v>
      </c>
      <c r="U67">
        <v>1.3</v>
      </c>
      <c r="V67">
        <v>8.5299999999999994</v>
      </c>
      <c r="W67">
        <v>1</v>
      </c>
    </row>
    <row r="68" spans="1:23" x14ac:dyDescent="0.45">
      <c r="A68" s="2">
        <v>1363</v>
      </c>
      <c r="B68" s="2">
        <v>120</v>
      </c>
      <c r="C68" s="2">
        <v>0.8</v>
      </c>
      <c r="D68" s="2">
        <v>5</v>
      </c>
      <c r="E68" s="2">
        <v>3.75</v>
      </c>
      <c r="F68" s="2" t="s">
        <v>23</v>
      </c>
      <c r="G68" s="2">
        <v>11</v>
      </c>
      <c r="H68">
        <v>1.38</v>
      </c>
      <c r="I68">
        <v>1</v>
      </c>
      <c r="J68">
        <v>2.48</v>
      </c>
      <c r="K68">
        <v>16.510000000000002</v>
      </c>
      <c r="L68">
        <v>9.66</v>
      </c>
      <c r="M68">
        <v>33.46</v>
      </c>
      <c r="N68">
        <v>0.8</v>
      </c>
      <c r="O68">
        <v>4.82</v>
      </c>
      <c r="P68">
        <v>1.18</v>
      </c>
      <c r="Q68">
        <v>8.09</v>
      </c>
      <c r="R68">
        <v>1</v>
      </c>
      <c r="S68">
        <v>0.57999999999999996</v>
      </c>
      <c r="T68">
        <v>4.84</v>
      </c>
      <c r="U68">
        <v>1.3</v>
      </c>
      <c r="V68">
        <v>8.42</v>
      </c>
      <c r="W68">
        <v>1</v>
      </c>
    </row>
    <row r="69" spans="1:23" x14ac:dyDescent="0.45">
      <c r="A69" s="2">
        <v>1364</v>
      </c>
      <c r="B69" s="2">
        <v>150</v>
      </c>
      <c r="C69" s="2">
        <v>0.5</v>
      </c>
      <c r="D69" s="2">
        <v>5</v>
      </c>
      <c r="E69" s="2">
        <v>3.75</v>
      </c>
      <c r="F69" s="2" t="s">
        <v>23</v>
      </c>
      <c r="G69" s="2">
        <v>11</v>
      </c>
      <c r="H69">
        <v>1.3</v>
      </c>
      <c r="I69">
        <v>1</v>
      </c>
      <c r="J69">
        <v>2.5</v>
      </c>
      <c r="K69">
        <v>16.809999999999999</v>
      </c>
      <c r="L69">
        <v>9.6199999999999992</v>
      </c>
      <c r="M69">
        <v>36</v>
      </c>
      <c r="N69">
        <v>0.72</v>
      </c>
      <c r="O69">
        <v>4.8</v>
      </c>
      <c r="P69">
        <v>1.2</v>
      </c>
      <c r="Q69">
        <v>8.2100000000000009</v>
      </c>
      <c r="R69">
        <v>1</v>
      </c>
      <c r="S69">
        <v>0.57999999999999996</v>
      </c>
      <c r="T69">
        <v>4.82</v>
      </c>
      <c r="U69">
        <v>1.3</v>
      </c>
      <c r="V69">
        <v>8.6</v>
      </c>
      <c r="W69">
        <v>1</v>
      </c>
    </row>
    <row r="70" spans="1:23" x14ac:dyDescent="0.45">
      <c r="A70" s="2">
        <v>1365</v>
      </c>
      <c r="B70" s="2">
        <v>90</v>
      </c>
      <c r="C70" s="2">
        <v>0.95</v>
      </c>
      <c r="D70" s="2">
        <v>5</v>
      </c>
      <c r="E70" s="2">
        <v>1.25</v>
      </c>
      <c r="F70" s="2" t="s">
        <v>23</v>
      </c>
      <c r="G70" s="2">
        <v>11</v>
      </c>
      <c r="H70">
        <v>3.18</v>
      </c>
      <c r="I70">
        <v>1</v>
      </c>
      <c r="J70">
        <v>7.55</v>
      </c>
      <c r="K70">
        <v>4.5599999999999996</v>
      </c>
      <c r="L70">
        <v>3.34</v>
      </c>
      <c r="M70">
        <v>26.44</v>
      </c>
      <c r="N70">
        <v>1.54</v>
      </c>
      <c r="O70">
        <v>2.2999999999999998</v>
      </c>
      <c r="P70">
        <v>3.7</v>
      </c>
      <c r="Q70">
        <v>3.31</v>
      </c>
      <c r="R70">
        <v>1</v>
      </c>
      <c r="S70">
        <v>1.64</v>
      </c>
      <c r="T70">
        <v>1.04</v>
      </c>
      <c r="U70">
        <v>3.85</v>
      </c>
      <c r="V70">
        <v>1.25</v>
      </c>
      <c r="W70">
        <v>1</v>
      </c>
    </row>
    <row r="71" spans="1:23" x14ac:dyDescent="0.45">
      <c r="A71" s="2">
        <v>1366</v>
      </c>
      <c r="B71" s="2">
        <v>30</v>
      </c>
      <c r="C71" s="2">
        <v>0.5</v>
      </c>
      <c r="D71" s="2">
        <v>5</v>
      </c>
      <c r="E71" s="2">
        <v>3.75</v>
      </c>
      <c r="F71" s="2" t="s">
        <v>23</v>
      </c>
      <c r="G71" s="2">
        <v>11</v>
      </c>
      <c r="H71">
        <v>1.24</v>
      </c>
      <c r="I71">
        <v>1</v>
      </c>
      <c r="J71">
        <v>2.52</v>
      </c>
      <c r="K71">
        <v>16.86</v>
      </c>
      <c r="L71">
        <v>9.76</v>
      </c>
      <c r="M71">
        <v>28.28</v>
      </c>
      <c r="N71">
        <v>0.64</v>
      </c>
      <c r="O71">
        <v>4.9000000000000004</v>
      </c>
      <c r="P71">
        <v>1.1200000000000001</v>
      </c>
      <c r="Q71">
        <v>8.26</v>
      </c>
      <c r="R71">
        <v>1</v>
      </c>
      <c r="S71">
        <v>0.6</v>
      </c>
      <c r="T71">
        <v>4.8600000000000003</v>
      </c>
      <c r="U71">
        <v>1.4</v>
      </c>
      <c r="V71">
        <v>8.59</v>
      </c>
      <c r="W71">
        <v>1</v>
      </c>
    </row>
    <row r="72" spans="1:23" x14ac:dyDescent="0.45">
      <c r="A72" s="2">
        <v>1367</v>
      </c>
      <c r="B72" s="2">
        <v>90</v>
      </c>
      <c r="C72" s="2">
        <v>0.8</v>
      </c>
      <c r="D72" s="2">
        <v>5</v>
      </c>
      <c r="E72" s="2">
        <v>1.25</v>
      </c>
      <c r="F72" s="2" t="s">
        <v>23</v>
      </c>
      <c r="G72" s="2">
        <v>11</v>
      </c>
      <c r="H72">
        <v>3.32</v>
      </c>
      <c r="I72">
        <v>1</v>
      </c>
      <c r="J72">
        <v>7.72</v>
      </c>
      <c r="K72">
        <v>5.19</v>
      </c>
      <c r="L72">
        <v>23.38</v>
      </c>
      <c r="M72">
        <v>48.04</v>
      </c>
      <c r="N72">
        <v>1.7</v>
      </c>
      <c r="O72">
        <v>2.2400000000000002</v>
      </c>
      <c r="P72">
        <v>3.82</v>
      </c>
      <c r="Q72">
        <v>3.15</v>
      </c>
      <c r="R72">
        <v>1</v>
      </c>
      <c r="S72">
        <v>1.62</v>
      </c>
      <c r="T72">
        <v>21.14</v>
      </c>
      <c r="U72">
        <v>3.9</v>
      </c>
      <c r="V72">
        <v>2.04</v>
      </c>
      <c r="W72">
        <v>1</v>
      </c>
    </row>
    <row r="73" spans="1:23" x14ac:dyDescent="0.45">
      <c r="A73" s="2">
        <v>1368</v>
      </c>
      <c r="B73" s="2">
        <v>90</v>
      </c>
      <c r="C73" s="2">
        <v>0.5</v>
      </c>
      <c r="D73" s="2">
        <v>4</v>
      </c>
      <c r="E73" s="2">
        <v>2</v>
      </c>
      <c r="F73" s="2" t="s">
        <v>23</v>
      </c>
      <c r="G73" s="2">
        <v>11</v>
      </c>
      <c r="H73">
        <v>1.74</v>
      </c>
      <c r="I73">
        <v>1</v>
      </c>
      <c r="J73">
        <v>4.13</v>
      </c>
      <c r="K73">
        <v>7.81</v>
      </c>
      <c r="L73">
        <v>5.24</v>
      </c>
      <c r="M73">
        <v>37.44</v>
      </c>
      <c r="N73">
        <v>0.84</v>
      </c>
      <c r="O73">
        <v>3.06</v>
      </c>
      <c r="P73">
        <v>1.99</v>
      </c>
      <c r="Q73">
        <v>4.6399999999999997</v>
      </c>
      <c r="R73">
        <v>1</v>
      </c>
      <c r="S73">
        <v>0.9</v>
      </c>
      <c r="T73">
        <v>2.1800000000000002</v>
      </c>
      <c r="U73">
        <v>2.14</v>
      </c>
      <c r="V73">
        <v>3.16</v>
      </c>
      <c r="W73">
        <v>1</v>
      </c>
    </row>
    <row r="74" spans="1:23" x14ac:dyDescent="0.45">
      <c r="A74" s="2">
        <v>1369</v>
      </c>
      <c r="B74" s="2">
        <v>150</v>
      </c>
      <c r="C74" s="2">
        <v>0.65</v>
      </c>
      <c r="D74" s="2">
        <v>5</v>
      </c>
      <c r="E74" s="2">
        <v>1.25</v>
      </c>
      <c r="F74" s="2" t="s">
        <v>23</v>
      </c>
      <c r="G74" s="2">
        <v>12</v>
      </c>
      <c r="H74">
        <v>3.92</v>
      </c>
      <c r="I74">
        <v>1</v>
      </c>
      <c r="J74">
        <v>7.6</v>
      </c>
      <c r="K74">
        <v>4.7300000000000004</v>
      </c>
      <c r="L74">
        <v>3.34</v>
      </c>
      <c r="M74">
        <v>33.68</v>
      </c>
      <c r="N74">
        <v>2.2999999999999998</v>
      </c>
      <c r="O74">
        <v>2.2799999999999998</v>
      </c>
      <c r="P74">
        <v>3.81</v>
      </c>
      <c r="Q74">
        <v>3.37</v>
      </c>
      <c r="R74">
        <v>1</v>
      </c>
      <c r="S74">
        <v>1.62</v>
      </c>
      <c r="T74">
        <v>1.06</v>
      </c>
      <c r="U74">
        <v>3.8</v>
      </c>
      <c r="V74">
        <v>1.36</v>
      </c>
      <c r="W74">
        <v>1</v>
      </c>
    </row>
    <row r="75" spans="1:23" x14ac:dyDescent="0.45">
      <c r="A75" s="2">
        <v>1370</v>
      </c>
      <c r="B75" s="2">
        <v>150</v>
      </c>
      <c r="C75" s="2">
        <v>0.8</v>
      </c>
      <c r="D75" s="2">
        <v>5</v>
      </c>
      <c r="E75" s="2">
        <v>1.25</v>
      </c>
      <c r="F75" s="2" t="s">
        <v>23</v>
      </c>
      <c r="G75" s="2">
        <v>12</v>
      </c>
      <c r="H75">
        <v>3.16</v>
      </c>
      <c r="I75">
        <v>1</v>
      </c>
      <c r="J75">
        <v>7.55</v>
      </c>
      <c r="K75">
        <v>4.66</v>
      </c>
      <c r="L75">
        <v>3.38</v>
      </c>
      <c r="M75">
        <v>26.22</v>
      </c>
      <c r="N75">
        <v>1.54</v>
      </c>
      <c r="O75">
        <v>2.2799999999999998</v>
      </c>
      <c r="P75">
        <v>3.65</v>
      </c>
      <c r="Q75">
        <v>3.33</v>
      </c>
      <c r="R75">
        <v>1</v>
      </c>
      <c r="S75">
        <v>1.62</v>
      </c>
      <c r="T75">
        <v>1.1000000000000001</v>
      </c>
      <c r="U75">
        <v>3.9</v>
      </c>
      <c r="V75">
        <v>1.33</v>
      </c>
      <c r="W75">
        <v>1</v>
      </c>
    </row>
    <row r="76" spans="1:23" x14ac:dyDescent="0.45">
      <c r="A76" s="2">
        <v>1371</v>
      </c>
      <c r="B76" s="2">
        <v>90</v>
      </c>
      <c r="C76" s="2">
        <v>0.65</v>
      </c>
      <c r="D76" s="2">
        <v>5</v>
      </c>
      <c r="E76" s="2">
        <v>3.75</v>
      </c>
      <c r="F76" s="2" t="s">
        <v>23</v>
      </c>
      <c r="G76" s="2">
        <v>12</v>
      </c>
      <c r="H76">
        <v>2.82</v>
      </c>
      <c r="I76">
        <v>1</v>
      </c>
      <c r="J76">
        <v>2.5299999999999998</v>
      </c>
      <c r="K76">
        <v>16.62</v>
      </c>
      <c r="L76">
        <v>9.6</v>
      </c>
      <c r="M76">
        <v>30.8</v>
      </c>
      <c r="N76">
        <v>2.2200000000000002</v>
      </c>
      <c r="O76">
        <v>4.8</v>
      </c>
      <c r="P76">
        <v>1.1299999999999999</v>
      </c>
      <c r="Q76">
        <v>8.15</v>
      </c>
      <c r="R76">
        <v>1</v>
      </c>
      <c r="S76">
        <v>0.6</v>
      </c>
      <c r="T76">
        <v>4.8</v>
      </c>
      <c r="U76">
        <v>1.4</v>
      </c>
      <c r="V76">
        <v>8.4700000000000006</v>
      </c>
      <c r="W76">
        <v>1</v>
      </c>
    </row>
    <row r="77" spans="1:23" x14ac:dyDescent="0.45">
      <c r="A77" s="2">
        <v>1372</v>
      </c>
      <c r="B77" s="2">
        <v>120</v>
      </c>
      <c r="C77" s="2">
        <v>0.8</v>
      </c>
      <c r="D77" s="2">
        <v>5</v>
      </c>
      <c r="E77" s="2">
        <v>3.75</v>
      </c>
      <c r="F77" s="2" t="s">
        <v>23</v>
      </c>
      <c r="G77" s="2">
        <v>12</v>
      </c>
      <c r="H77">
        <v>1.66</v>
      </c>
      <c r="I77">
        <v>1</v>
      </c>
      <c r="J77">
        <v>2.48</v>
      </c>
      <c r="K77">
        <v>16.68</v>
      </c>
      <c r="L77">
        <v>9.68</v>
      </c>
      <c r="M77">
        <v>28.94</v>
      </c>
      <c r="N77">
        <v>1.08</v>
      </c>
      <c r="O77">
        <v>4.88</v>
      </c>
      <c r="P77">
        <v>1.18</v>
      </c>
      <c r="Q77">
        <v>8.19</v>
      </c>
      <c r="R77">
        <v>1</v>
      </c>
      <c r="S77">
        <v>0.57999999999999996</v>
      </c>
      <c r="T77">
        <v>4.8</v>
      </c>
      <c r="U77">
        <v>1.3</v>
      </c>
      <c r="V77">
        <v>8.49</v>
      </c>
      <c r="W77">
        <v>1</v>
      </c>
    </row>
    <row r="78" spans="1:23" x14ac:dyDescent="0.45">
      <c r="A78" s="2">
        <v>1373</v>
      </c>
      <c r="B78" s="2">
        <v>150</v>
      </c>
      <c r="C78" s="2">
        <v>0.5</v>
      </c>
      <c r="D78" s="2">
        <v>5</v>
      </c>
      <c r="E78" s="2">
        <v>3.75</v>
      </c>
      <c r="F78" s="2" t="s">
        <v>23</v>
      </c>
      <c r="G78" s="2">
        <v>12</v>
      </c>
      <c r="H78">
        <v>1.68</v>
      </c>
      <c r="I78">
        <v>1</v>
      </c>
      <c r="J78">
        <v>2.4500000000000002</v>
      </c>
      <c r="K78">
        <v>16.559999999999999</v>
      </c>
      <c r="L78">
        <v>9.64</v>
      </c>
      <c r="M78">
        <v>32.08</v>
      </c>
      <c r="N78">
        <v>1.1000000000000001</v>
      </c>
      <c r="O78">
        <v>4.84</v>
      </c>
      <c r="P78">
        <v>1.25</v>
      </c>
      <c r="Q78">
        <v>8.16</v>
      </c>
      <c r="R78">
        <v>1</v>
      </c>
      <c r="S78">
        <v>0.57999999999999996</v>
      </c>
      <c r="T78">
        <v>4.8</v>
      </c>
      <c r="U78">
        <v>1.2</v>
      </c>
      <c r="V78">
        <v>8.4</v>
      </c>
      <c r="W78">
        <v>1</v>
      </c>
    </row>
    <row r="79" spans="1:23" x14ac:dyDescent="0.45">
      <c r="A79" s="2">
        <v>1374</v>
      </c>
      <c r="B79" s="2">
        <v>90</v>
      </c>
      <c r="C79" s="2">
        <v>0.95</v>
      </c>
      <c r="D79" s="2">
        <v>5</v>
      </c>
      <c r="E79" s="2">
        <v>1.25</v>
      </c>
      <c r="F79" s="2" t="s">
        <v>23</v>
      </c>
      <c r="G79" s="2">
        <v>12</v>
      </c>
      <c r="H79">
        <v>3.38</v>
      </c>
      <c r="I79">
        <v>1</v>
      </c>
      <c r="J79">
        <v>7.44</v>
      </c>
      <c r="K79">
        <v>4.46</v>
      </c>
      <c r="L79">
        <v>3.26</v>
      </c>
      <c r="M79">
        <v>31.78</v>
      </c>
      <c r="N79">
        <v>1.74</v>
      </c>
      <c r="O79">
        <v>2.2400000000000002</v>
      </c>
      <c r="P79">
        <v>3.7</v>
      </c>
      <c r="Q79">
        <v>3.24</v>
      </c>
      <c r="R79">
        <v>1</v>
      </c>
      <c r="S79">
        <v>1.64</v>
      </c>
      <c r="T79">
        <v>1.02</v>
      </c>
      <c r="U79">
        <v>3.75</v>
      </c>
      <c r="V79">
        <v>1.23</v>
      </c>
      <c r="W79">
        <v>1</v>
      </c>
    </row>
    <row r="80" spans="1:23" x14ac:dyDescent="0.45">
      <c r="A80" s="2">
        <v>1375</v>
      </c>
      <c r="B80" s="2">
        <v>30</v>
      </c>
      <c r="C80" s="2">
        <v>0.5</v>
      </c>
      <c r="D80" s="2">
        <v>5</v>
      </c>
      <c r="E80" s="2">
        <v>3.75</v>
      </c>
      <c r="F80" s="2" t="s">
        <v>23</v>
      </c>
      <c r="G80" s="2">
        <v>12</v>
      </c>
      <c r="H80">
        <v>1.6</v>
      </c>
      <c r="I80">
        <v>1</v>
      </c>
      <c r="J80">
        <v>2.5</v>
      </c>
      <c r="K80">
        <v>16.649999999999999</v>
      </c>
      <c r="L80">
        <v>9.7200000000000006</v>
      </c>
      <c r="M80">
        <v>32.32</v>
      </c>
      <c r="N80">
        <v>1</v>
      </c>
      <c r="O80">
        <v>4.9400000000000004</v>
      </c>
      <c r="P80">
        <v>1.25</v>
      </c>
      <c r="Q80">
        <v>8.18</v>
      </c>
      <c r="R80">
        <v>1</v>
      </c>
      <c r="S80">
        <v>0.6</v>
      </c>
      <c r="T80">
        <v>4.78</v>
      </c>
      <c r="U80">
        <v>1.25</v>
      </c>
      <c r="V80">
        <v>8.4700000000000006</v>
      </c>
      <c r="W80">
        <v>1</v>
      </c>
    </row>
    <row r="81" spans="1:23" x14ac:dyDescent="0.45">
      <c r="A81" s="2">
        <v>1376</v>
      </c>
      <c r="B81" s="2">
        <v>90</v>
      </c>
      <c r="C81" s="2">
        <v>0.8</v>
      </c>
      <c r="D81" s="2">
        <v>5</v>
      </c>
      <c r="E81" s="2">
        <v>1.25</v>
      </c>
      <c r="F81" s="2" t="s">
        <v>23</v>
      </c>
      <c r="G81" s="2">
        <v>12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45">
      <c r="A82" s="2">
        <v>1377</v>
      </c>
      <c r="B82" s="2">
        <v>90</v>
      </c>
      <c r="C82" s="2">
        <v>0.5</v>
      </c>
      <c r="D82" s="2">
        <v>4</v>
      </c>
      <c r="E82" s="2">
        <v>2</v>
      </c>
      <c r="F82" s="2" t="s">
        <v>23</v>
      </c>
      <c r="G82" s="2">
        <v>12</v>
      </c>
      <c r="H82">
        <v>1.82</v>
      </c>
      <c r="I82">
        <v>1</v>
      </c>
      <c r="J82">
        <v>3.92</v>
      </c>
      <c r="K82">
        <v>7.96</v>
      </c>
      <c r="L82">
        <v>5.14</v>
      </c>
      <c r="M82">
        <v>33.020000000000003</v>
      </c>
      <c r="N82">
        <v>0.94</v>
      </c>
      <c r="O82">
        <v>3.02</v>
      </c>
      <c r="P82">
        <v>1.88</v>
      </c>
      <c r="Q82">
        <v>4.79</v>
      </c>
      <c r="R82">
        <v>1</v>
      </c>
      <c r="S82">
        <v>0.88</v>
      </c>
      <c r="T82">
        <v>2.12</v>
      </c>
      <c r="U82">
        <v>2.0499999999999998</v>
      </c>
      <c r="V82">
        <v>3.17</v>
      </c>
      <c r="W82">
        <v>1</v>
      </c>
    </row>
    <row r="83" spans="1:23" x14ac:dyDescent="0.45">
      <c r="A83" s="2">
        <v>1378</v>
      </c>
      <c r="B83" s="2">
        <v>150</v>
      </c>
      <c r="C83" s="2">
        <v>0.65</v>
      </c>
      <c r="D83" s="2">
        <v>5</v>
      </c>
      <c r="E83" s="2">
        <v>1.25</v>
      </c>
      <c r="F83" s="2" t="s">
        <v>23</v>
      </c>
      <c r="G83" s="2">
        <v>13</v>
      </c>
      <c r="H83">
        <v>3.48</v>
      </c>
      <c r="I83">
        <v>1</v>
      </c>
      <c r="J83">
        <v>7.69</v>
      </c>
      <c r="K83">
        <v>5.41</v>
      </c>
      <c r="L83">
        <v>7.76</v>
      </c>
      <c r="M83">
        <v>32.380000000000003</v>
      </c>
      <c r="N83">
        <v>1.88</v>
      </c>
      <c r="O83">
        <v>2.2400000000000002</v>
      </c>
      <c r="P83">
        <v>3.84</v>
      </c>
      <c r="Q83">
        <v>3.27</v>
      </c>
      <c r="R83">
        <v>1</v>
      </c>
      <c r="S83">
        <v>1.6</v>
      </c>
      <c r="T83">
        <v>5.52</v>
      </c>
      <c r="U83">
        <v>3.85</v>
      </c>
      <c r="V83">
        <v>2.14</v>
      </c>
      <c r="W83">
        <v>1</v>
      </c>
    </row>
    <row r="84" spans="1:23" x14ac:dyDescent="0.45">
      <c r="A84" s="2">
        <v>1379</v>
      </c>
      <c r="B84" s="2">
        <v>150</v>
      </c>
      <c r="C84" s="2">
        <v>0.8</v>
      </c>
      <c r="D84" s="2">
        <v>5</v>
      </c>
      <c r="E84" s="2">
        <v>1.25</v>
      </c>
      <c r="F84" s="2" t="s">
        <v>23</v>
      </c>
      <c r="G84" s="2">
        <v>13</v>
      </c>
      <c r="H84">
        <v>4.5199999999999996</v>
      </c>
      <c r="I84">
        <v>1</v>
      </c>
      <c r="J84">
        <v>7.57</v>
      </c>
      <c r="K84">
        <v>4.51</v>
      </c>
      <c r="L84">
        <v>3.36</v>
      </c>
      <c r="M84">
        <v>29.78</v>
      </c>
      <c r="N84">
        <v>2.9</v>
      </c>
      <c r="O84">
        <v>2.2599999999999998</v>
      </c>
      <c r="P84">
        <v>3.77</v>
      </c>
      <c r="Q84">
        <v>3.16</v>
      </c>
      <c r="R84">
        <v>1</v>
      </c>
      <c r="S84">
        <v>1.62</v>
      </c>
      <c r="T84">
        <v>1.1000000000000001</v>
      </c>
      <c r="U84">
        <v>3.8</v>
      </c>
      <c r="V84">
        <v>1.36</v>
      </c>
      <c r="W84">
        <v>1</v>
      </c>
    </row>
    <row r="85" spans="1:23" x14ac:dyDescent="0.45">
      <c r="A85" s="2">
        <v>1380</v>
      </c>
      <c r="B85" s="2">
        <v>90</v>
      </c>
      <c r="C85" s="2">
        <v>0.65</v>
      </c>
      <c r="D85" s="2">
        <v>5</v>
      </c>
      <c r="E85" s="2">
        <v>3.75</v>
      </c>
      <c r="F85" s="2" t="s">
        <v>23</v>
      </c>
      <c r="G85" s="2">
        <v>13</v>
      </c>
      <c r="H85">
        <v>2.3199999999999998</v>
      </c>
      <c r="I85">
        <v>1</v>
      </c>
      <c r="J85">
        <v>2.42</v>
      </c>
      <c r="K85">
        <v>16.79</v>
      </c>
      <c r="L85">
        <v>9.7200000000000006</v>
      </c>
      <c r="M85">
        <v>34.68</v>
      </c>
      <c r="N85">
        <v>1.72</v>
      </c>
      <c r="O85">
        <v>4.9400000000000004</v>
      </c>
      <c r="P85">
        <v>1.17</v>
      </c>
      <c r="Q85">
        <v>8.3000000000000007</v>
      </c>
      <c r="R85">
        <v>1</v>
      </c>
      <c r="S85">
        <v>0.6</v>
      </c>
      <c r="T85">
        <v>4.78</v>
      </c>
      <c r="U85">
        <v>1.25</v>
      </c>
      <c r="V85">
        <v>8.48</v>
      </c>
      <c r="W85">
        <v>1</v>
      </c>
    </row>
    <row r="86" spans="1:23" x14ac:dyDescent="0.45">
      <c r="A86" s="2">
        <v>1381</v>
      </c>
      <c r="B86" s="2">
        <v>120</v>
      </c>
      <c r="C86" s="2">
        <v>0.8</v>
      </c>
      <c r="D86" s="2">
        <v>5</v>
      </c>
      <c r="E86" s="2">
        <v>3.75</v>
      </c>
      <c r="F86" s="2" t="s">
        <v>23</v>
      </c>
      <c r="G86" s="2">
        <v>13</v>
      </c>
      <c r="H86">
        <v>1.24</v>
      </c>
      <c r="I86">
        <v>1</v>
      </c>
      <c r="J86">
        <v>2.5</v>
      </c>
      <c r="K86">
        <v>16.68</v>
      </c>
      <c r="L86">
        <v>9.7200000000000006</v>
      </c>
      <c r="M86">
        <v>28.3</v>
      </c>
      <c r="N86">
        <v>0.66</v>
      </c>
      <c r="O86">
        <v>4.92</v>
      </c>
      <c r="P86">
        <v>1.1499999999999999</v>
      </c>
      <c r="Q86">
        <v>8.18</v>
      </c>
      <c r="R86">
        <v>1</v>
      </c>
      <c r="S86">
        <v>0.57999999999999996</v>
      </c>
      <c r="T86">
        <v>4.8</v>
      </c>
      <c r="U86">
        <v>1.35</v>
      </c>
      <c r="V86">
        <v>8.5</v>
      </c>
      <c r="W86">
        <v>1</v>
      </c>
    </row>
    <row r="87" spans="1:23" x14ac:dyDescent="0.45">
      <c r="A87" s="2">
        <v>1382</v>
      </c>
      <c r="B87" s="2">
        <v>150</v>
      </c>
      <c r="C87" s="2">
        <v>0.5</v>
      </c>
      <c r="D87" s="2">
        <v>5</v>
      </c>
      <c r="E87" s="2">
        <v>3.75</v>
      </c>
      <c r="F87" s="2" t="s">
        <v>23</v>
      </c>
      <c r="G87" s="2">
        <v>13</v>
      </c>
      <c r="H87">
        <v>1.58</v>
      </c>
      <c r="I87">
        <v>1</v>
      </c>
      <c r="J87">
        <v>2.4300000000000002</v>
      </c>
      <c r="K87">
        <v>16.690000000000001</v>
      </c>
      <c r="L87">
        <v>9.64</v>
      </c>
      <c r="M87">
        <v>28.94</v>
      </c>
      <c r="N87">
        <v>1</v>
      </c>
      <c r="O87">
        <v>4.8</v>
      </c>
      <c r="P87">
        <v>1.18</v>
      </c>
      <c r="Q87">
        <v>8.1999999999999993</v>
      </c>
      <c r="R87">
        <v>1</v>
      </c>
      <c r="S87">
        <v>0.57999999999999996</v>
      </c>
      <c r="T87">
        <v>4.84</v>
      </c>
      <c r="U87">
        <v>1.25</v>
      </c>
      <c r="V87">
        <v>8.49</v>
      </c>
      <c r="W87">
        <v>1</v>
      </c>
    </row>
    <row r="88" spans="1:23" x14ac:dyDescent="0.45">
      <c r="A88" s="2">
        <v>1383</v>
      </c>
      <c r="B88" s="2">
        <v>90</v>
      </c>
      <c r="C88" s="2">
        <v>0.95</v>
      </c>
      <c r="D88" s="2">
        <v>5</v>
      </c>
      <c r="E88" s="2">
        <v>1.25</v>
      </c>
      <c r="F88" s="2" t="s">
        <v>23</v>
      </c>
      <c r="G88" s="2">
        <v>13</v>
      </c>
      <c r="H88">
        <v>3.74</v>
      </c>
      <c r="I88">
        <v>1</v>
      </c>
      <c r="J88">
        <v>7.73</v>
      </c>
      <c r="K88">
        <v>4.49</v>
      </c>
      <c r="L88">
        <v>3.22</v>
      </c>
      <c r="M88">
        <v>28.7</v>
      </c>
      <c r="N88">
        <v>2.1</v>
      </c>
      <c r="O88">
        <v>2.2400000000000002</v>
      </c>
      <c r="P88">
        <v>3.78</v>
      </c>
      <c r="Q88">
        <v>3.3</v>
      </c>
      <c r="R88">
        <v>1</v>
      </c>
      <c r="S88">
        <v>1.64</v>
      </c>
      <c r="T88">
        <v>0.98</v>
      </c>
      <c r="U88">
        <v>3.95</v>
      </c>
      <c r="V88">
        <v>1.19</v>
      </c>
      <c r="W88">
        <v>1</v>
      </c>
    </row>
    <row r="89" spans="1:23" x14ac:dyDescent="0.45">
      <c r="A89" s="2">
        <v>1384</v>
      </c>
      <c r="B89" s="2">
        <v>30</v>
      </c>
      <c r="C89" s="2">
        <v>0.5</v>
      </c>
      <c r="D89" s="2">
        <v>5</v>
      </c>
      <c r="E89" s="2">
        <v>3.75</v>
      </c>
      <c r="F89" s="2" t="s">
        <v>23</v>
      </c>
      <c r="G89" s="2">
        <v>13</v>
      </c>
      <c r="H89">
        <v>1.82</v>
      </c>
      <c r="I89">
        <v>1</v>
      </c>
      <c r="J89">
        <v>2.54</v>
      </c>
      <c r="K89">
        <v>16.64</v>
      </c>
      <c r="L89">
        <v>9.56</v>
      </c>
      <c r="M89">
        <v>33.840000000000003</v>
      </c>
      <c r="N89">
        <v>1.22</v>
      </c>
      <c r="O89">
        <v>4.76</v>
      </c>
      <c r="P89">
        <v>1.19</v>
      </c>
      <c r="Q89">
        <v>8.1199999999999992</v>
      </c>
      <c r="R89">
        <v>1</v>
      </c>
      <c r="S89">
        <v>0.6</v>
      </c>
      <c r="T89">
        <v>4.8</v>
      </c>
      <c r="U89">
        <v>1.35</v>
      </c>
      <c r="V89">
        <v>8.52</v>
      </c>
      <c r="W89">
        <v>1</v>
      </c>
    </row>
    <row r="90" spans="1:23" x14ac:dyDescent="0.45">
      <c r="A90" s="2">
        <v>1385</v>
      </c>
      <c r="B90" s="2">
        <v>90</v>
      </c>
      <c r="C90" s="2">
        <v>0.8</v>
      </c>
      <c r="D90" s="2">
        <v>5</v>
      </c>
      <c r="E90" s="2">
        <v>1.25</v>
      </c>
      <c r="F90" s="2" t="s">
        <v>23</v>
      </c>
      <c r="G90" s="2">
        <v>13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45">
      <c r="A91" s="2">
        <v>1386</v>
      </c>
      <c r="B91" s="2">
        <v>90</v>
      </c>
      <c r="C91" s="2">
        <v>0.5</v>
      </c>
      <c r="D91" s="2">
        <v>4</v>
      </c>
      <c r="E91" s="2">
        <v>2</v>
      </c>
      <c r="F91" s="2" t="s">
        <v>23</v>
      </c>
      <c r="G91" s="2">
        <v>13</v>
      </c>
      <c r="H91">
        <v>1.72</v>
      </c>
      <c r="I91">
        <v>1</v>
      </c>
      <c r="J91">
        <v>3.89</v>
      </c>
      <c r="K91">
        <v>7.95</v>
      </c>
      <c r="L91">
        <v>5.22</v>
      </c>
      <c r="M91">
        <v>31.62</v>
      </c>
      <c r="N91">
        <v>0.84</v>
      </c>
      <c r="O91">
        <v>3.08</v>
      </c>
      <c r="P91">
        <v>1.89</v>
      </c>
      <c r="Q91">
        <v>4.7699999999999996</v>
      </c>
      <c r="R91">
        <v>1</v>
      </c>
      <c r="S91">
        <v>0.88</v>
      </c>
      <c r="T91">
        <v>2.14</v>
      </c>
      <c r="U91">
        <v>2</v>
      </c>
      <c r="V91">
        <v>3.17</v>
      </c>
      <c r="W91">
        <v>1</v>
      </c>
    </row>
    <row r="92" spans="1:23" x14ac:dyDescent="0.45">
      <c r="A92" s="2">
        <v>1387</v>
      </c>
      <c r="B92" s="2">
        <v>150</v>
      </c>
      <c r="C92" s="2">
        <v>0.65</v>
      </c>
      <c r="D92" s="2">
        <v>5</v>
      </c>
      <c r="E92" s="2">
        <v>1.25</v>
      </c>
      <c r="F92" s="2" t="s">
        <v>23</v>
      </c>
      <c r="G92" s="2">
        <v>14</v>
      </c>
      <c r="H92">
        <v>3.16</v>
      </c>
      <c r="I92">
        <v>1</v>
      </c>
      <c r="J92">
        <v>7.65</v>
      </c>
      <c r="K92">
        <v>4.3600000000000003</v>
      </c>
      <c r="L92">
        <v>3.26</v>
      </c>
      <c r="M92">
        <v>26.32</v>
      </c>
      <c r="N92">
        <v>1.54</v>
      </c>
      <c r="O92">
        <v>2.2400000000000002</v>
      </c>
      <c r="P92">
        <v>3.75</v>
      </c>
      <c r="Q92">
        <v>3.15</v>
      </c>
      <c r="R92">
        <v>1</v>
      </c>
      <c r="S92">
        <v>1.62</v>
      </c>
      <c r="T92">
        <v>1.02</v>
      </c>
      <c r="U92">
        <v>3.9</v>
      </c>
      <c r="V92">
        <v>1.22</v>
      </c>
      <c r="W92">
        <v>1</v>
      </c>
    </row>
    <row r="93" spans="1:23" x14ac:dyDescent="0.45">
      <c r="A93" s="2">
        <v>1388</v>
      </c>
      <c r="B93" s="2">
        <v>150</v>
      </c>
      <c r="C93" s="2">
        <v>0.8</v>
      </c>
      <c r="D93" s="2">
        <v>5</v>
      </c>
      <c r="E93" s="2">
        <v>1.25</v>
      </c>
      <c r="F93" s="2" t="s">
        <v>23</v>
      </c>
      <c r="G93" s="2">
        <v>14</v>
      </c>
      <c r="H93">
        <v>3.16</v>
      </c>
      <c r="I93">
        <v>1</v>
      </c>
      <c r="J93">
        <v>7.6</v>
      </c>
      <c r="K93">
        <v>4.55</v>
      </c>
      <c r="L93">
        <v>3.28</v>
      </c>
      <c r="M93">
        <v>26.48</v>
      </c>
      <c r="N93">
        <v>1.54</v>
      </c>
      <c r="O93">
        <v>2.2599999999999998</v>
      </c>
      <c r="P93">
        <v>3.7</v>
      </c>
      <c r="Q93">
        <v>3.22</v>
      </c>
      <c r="R93">
        <v>1</v>
      </c>
      <c r="S93">
        <v>1.62</v>
      </c>
      <c r="T93">
        <v>1.02</v>
      </c>
      <c r="U93">
        <v>3.9</v>
      </c>
      <c r="V93">
        <v>1.33</v>
      </c>
      <c r="W93">
        <v>1</v>
      </c>
    </row>
    <row r="94" spans="1:23" x14ac:dyDescent="0.45">
      <c r="A94" s="2">
        <v>1389</v>
      </c>
      <c r="B94" s="2">
        <v>90</v>
      </c>
      <c r="C94" s="2">
        <v>0.65</v>
      </c>
      <c r="D94" s="2">
        <v>5</v>
      </c>
      <c r="E94" s="2">
        <v>3.75</v>
      </c>
      <c r="F94" s="2" t="s">
        <v>23</v>
      </c>
      <c r="G94" s="2">
        <v>14</v>
      </c>
      <c r="H94">
        <v>1.58</v>
      </c>
      <c r="I94">
        <v>1</v>
      </c>
      <c r="J94">
        <v>2.46</v>
      </c>
      <c r="K94">
        <v>16.559999999999999</v>
      </c>
      <c r="L94">
        <v>9.58</v>
      </c>
      <c r="M94">
        <v>36.44</v>
      </c>
      <c r="N94">
        <v>0.98</v>
      </c>
      <c r="O94">
        <v>4.78</v>
      </c>
      <c r="P94">
        <v>1.1599999999999999</v>
      </c>
      <c r="Q94">
        <v>8.15</v>
      </c>
      <c r="R94">
        <v>1</v>
      </c>
      <c r="S94">
        <v>0.6</v>
      </c>
      <c r="T94">
        <v>4.8</v>
      </c>
      <c r="U94">
        <v>1.3</v>
      </c>
      <c r="V94">
        <v>8.42</v>
      </c>
      <c r="W94">
        <v>1</v>
      </c>
    </row>
    <row r="95" spans="1:23" x14ac:dyDescent="0.45">
      <c r="A95" s="2">
        <v>1390</v>
      </c>
      <c r="B95" s="2">
        <v>120</v>
      </c>
      <c r="C95" s="2">
        <v>0.8</v>
      </c>
      <c r="D95" s="2">
        <v>5</v>
      </c>
      <c r="E95" s="2">
        <v>3.75</v>
      </c>
      <c r="F95" s="2" t="s">
        <v>23</v>
      </c>
      <c r="G95" s="2">
        <v>14</v>
      </c>
      <c r="H95">
        <v>1.3</v>
      </c>
      <c r="I95">
        <v>1</v>
      </c>
      <c r="J95">
        <v>2.4500000000000002</v>
      </c>
      <c r="K95">
        <v>16.61</v>
      </c>
      <c r="L95">
        <v>9.6999999999999993</v>
      </c>
      <c r="M95">
        <v>28.32</v>
      </c>
      <c r="N95">
        <v>0.72</v>
      </c>
      <c r="O95">
        <v>4.9000000000000004</v>
      </c>
      <c r="P95">
        <v>1.2</v>
      </c>
      <c r="Q95">
        <v>8.15</v>
      </c>
      <c r="R95">
        <v>1</v>
      </c>
      <c r="S95">
        <v>0.57999999999999996</v>
      </c>
      <c r="T95">
        <v>4.8</v>
      </c>
      <c r="U95">
        <v>1.25</v>
      </c>
      <c r="V95">
        <v>8.4600000000000009</v>
      </c>
      <c r="W95">
        <v>1</v>
      </c>
    </row>
    <row r="96" spans="1:23" x14ac:dyDescent="0.45">
      <c r="A96" s="2">
        <v>1391</v>
      </c>
      <c r="B96" s="2">
        <v>150</v>
      </c>
      <c r="C96" s="2">
        <v>0.5</v>
      </c>
      <c r="D96" s="2">
        <v>5</v>
      </c>
      <c r="E96" s="2">
        <v>3.75</v>
      </c>
      <c r="F96" s="2" t="s">
        <v>23</v>
      </c>
      <c r="G96" s="2">
        <v>14</v>
      </c>
      <c r="H96">
        <v>1.22</v>
      </c>
      <c r="I96">
        <v>1</v>
      </c>
      <c r="J96">
        <v>2.42</v>
      </c>
      <c r="K96">
        <v>16.82</v>
      </c>
      <c r="L96">
        <v>9.74</v>
      </c>
      <c r="M96">
        <v>28.26</v>
      </c>
      <c r="N96">
        <v>0.64</v>
      </c>
      <c r="O96">
        <v>4.8600000000000003</v>
      </c>
      <c r="P96">
        <v>1.1200000000000001</v>
      </c>
      <c r="Q96">
        <v>8.23</v>
      </c>
      <c r="R96">
        <v>1</v>
      </c>
      <c r="S96">
        <v>0.57999999999999996</v>
      </c>
      <c r="T96">
        <v>4.88</v>
      </c>
      <c r="U96">
        <v>1.3</v>
      </c>
      <c r="V96">
        <v>8.59</v>
      </c>
      <c r="W96">
        <v>1</v>
      </c>
    </row>
    <row r="97" spans="1:23" x14ac:dyDescent="0.45">
      <c r="A97" s="2">
        <v>1392</v>
      </c>
      <c r="B97" s="2">
        <v>90</v>
      </c>
      <c r="C97" s="2">
        <v>0.95</v>
      </c>
      <c r="D97" s="2">
        <v>5</v>
      </c>
      <c r="E97" s="2">
        <v>1.25</v>
      </c>
      <c r="F97" s="2" t="s">
        <v>23</v>
      </c>
      <c r="G97" s="2">
        <v>14</v>
      </c>
      <c r="H97">
        <v>3.66</v>
      </c>
      <c r="I97">
        <v>1</v>
      </c>
      <c r="J97">
        <v>7.61</v>
      </c>
      <c r="K97">
        <v>4.74</v>
      </c>
      <c r="L97">
        <v>3.46</v>
      </c>
      <c r="M97">
        <v>28.64</v>
      </c>
      <c r="N97">
        <v>2.04</v>
      </c>
      <c r="O97">
        <v>2.38</v>
      </c>
      <c r="P97">
        <v>3.81</v>
      </c>
      <c r="Q97">
        <v>3.41</v>
      </c>
      <c r="R97">
        <v>1</v>
      </c>
      <c r="S97">
        <v>1.62</v>
      </c>
      <c r="T97">
        <v>1.08</v>
      </c>
      <c r="U97">
        <v>3.8</v>
      </c>
      <c r="V97">
        <v>1.32</v>
      </c>
      <c r="W97">
        <v>1</v>
      </c>
    </row>
    <row r="98" spans="1:23" x14ac:dyDescent="0.45">
      <c r="A98" s="2">
        <v>1393</v>
      </c>
      <c r="B98" s="2">
        <v>30</v>
      </c>
      <c r="C98" s="2">
        <v>0.5</v>
      </c>
      <c r="D98" s="2">
        <v>5</v>
      </c>
      <c r="E98" s="2">
        <v>3.75</v>
      </c>
      <c r="F98" s="2" t="s">
        <v>23</v>
      </c>
      <c r="G98" s="2">
        <v>14</v>
      </c>
      <c r="H98">
        <v>1.38</v>
      </c>
      <c r="I98">
        <v>1</v>
      </c>
      <c r="J98">
        <v>2.4700000000000002</v>
      </c>
      <c r="K98">
        <v>16.61</v>
      </c>
      <c r="L98">
        <v>9.68</v>
      </c>
      <c r="M98">
        <v>28.94</v>
      </c>
      <c r="N98">
        <v>0.78</v>
      </c>
      <c r="O98">
        <v>4.84</v>
      </c>
      <c r="P98">
        <v>1.17</v>
      </c>
      <c r="Q98">
        <v>8.11</v>
      </c>
      <c r="R98">
        <v>1</v>
      </c>
      <c r="S98">
        <v>0.6</v>
      </c>
      <c r="T98">
        <v>4.84</v>
      </c>
      <c r="U98">
        <v>1.3</v>
      </c>
      <c r="V98">
        <v>8.5</v>
      </c>
      <c r="W98">
        <v>1</v>
      </c>
    </row>
    <row r="99" spans="1:23" x14ac:dyDescent="0.45">
      <c r="A99" s="2">
        <v>1394</v>
      </c>
      <c r="B99" s="2">
        <v>90</v>
      </c>
      <c r="C99" s="2">
        <v>0.8</v>
      </c>
      <c r="D99" s="2">
        <v>5</v>
      </c>
      <c r="E99" s="2">
        <v>1.25</v>
      </c>
      <c r="F99" s="2" t="s">
        <v>23</v>
      </c>
      <c r="G99" s="2">
        <v>14</v>
      </c>
      <c r="H99">
        <v>3.56</v>
      </c>
      <c r="I99">
        <v>1</v>
      </c>
      <c r="J99">
        <v>7.71</v>
      </c>
      <c r="K99">
        <v>5.37</v>
      </c>
      <c r="L99">
        <v>9.82</v>
      </c>
      <c r="M99">
        <v>35.28</v>
      </c>
      <c r="N99">
        <v>1.94</v>
      </c>
      <c r="O99">
        <v>2.2400000000000002</v>
      </c>
      <c r="P99">
        <v>3.81</v>
      </c>
      <c r="Q99">
        <v>3.31</v>
      </c>
      <c r="R99">
        <v>1</v>
      </c>
      <c r="S99">
        <v>1.62</v>
      </c>
      <c r="T99">
        <v>7.58</v>
      </c>
      <c r="U99">
        <v>3.9</v>
      </c>
      <c r="V99">
        <v>2.0699999999999998</v>
      </c>
      <c r="W99">
        <v>1</v>
      </c>
    </row>
    <row r="100" spans="1:23" x14ac:dyDescent="0.45">
      <c r="A100" s="2">
        <v>1395</v>
      </c>
      <c r="B100" s="2">
        <v>90</v>
      </c>
      <c r="C100" s="2">
        <v>0.5</v>
      </c>
      <c r="D100" s="2">
        <v>4</v>
      </c>
      <c r="E100" s="2">
        <v>2</v>
      </c>
      <c r="F100" s="2" t="s">
        <v>23</v>
      </c>
      <c r="G100" s="2">
        <v>14</v>
      </c>
      <c r="H100">
        <v>2.08</v>
      </c>
      <c r="I100">
        <v>1</v>
      </c>
      <c r="J100">
        <v>3.95</v>
      </c>
      <c r="K100">
        <v>7.73</v>
      </c>
      <c r="L100">
        <v>5.04</v>
      </c>
      <c r="M100">
        <v>37.24</v>
      </c>
      <c r="N100">
        <v>1.2</v>
      </c>
      <c r="O100">
        <v>2.96</v>
      </c>
      <c r="P100">
        <v>1.96</v>
      </c>
      <c r="Q100">
        <v>4.6399999999999997</v>
      </c>
      <c r="R100">
        <v>1</v>
      </c>
      <c r="S100">
        <v>0.88</v>
      </c>
      <c r="T100">
        <v>2.08</v>
      </c>
      <c r="U100">
        <v>2</v>
      </c>
      <c r="V100">
        <v>3.09</v>
      </c>
      <c r="W100">
        <v>1</v>
      </c>
    </row>
    <row r="101" spans="1:23" x14ac:dyDescent="0.45">
      <c r="A101" s="2">
        <v>1396</v>
      </c>
      <c r="B101" s="2">
        <v>150</v>
      </c>
      <c r="C101" s="2">
        <v>0.65</v>
      </c>
      <c r="D101" s="2">
        <v>5</v>
      </c>
      <c r="E101" s="2">
        <v>1.25</v>
      </c>
      <c r="F101" s="2" t="s">
        <v>23</v>
      </c>
      <c r="G101" s="2">
        <v>15</v>
      </c>
      <c r="H101">
        <v>3.3</v>
      </c>
      <c r="I101">
        <v>1</v>
      </c>
      <c r="J101">
        <v>7.54</v>
      </c>
      <c r="K101">
        <v>5.46</v>
      </c>
      <c r="L101">
        <v>19.62</v>
      </c>
      <c r="M101">
        <v>43.2</v>
      </c>
      <c r="N101">
        <v>1.7</v>
      </c>
      <c r="O101">
        <v>2.2599999999999998</v>
      </c>
      <c r="P101">
        <v>3.7</v>
      </c>
      <c r="Q101">
        <v>3.3</v>
      </c>
      <c r="R101">
        <v>1</v>
      </c>
      <c r="S101">
        <v>1.6</v>
      </c>
      <c r="T101">
        <v>17.36</v>
      </c>
      <c r="U101">
        <v>3.85</v>
      </c>
      <c r="V101">
        <v>2.15</v>
      </c>
      <c r="W101">
        <v>1</v>
      </c>
    </row>
    <row r="102" spans="1:23" x14ac:dyDescent="0.45">
      <c r="A102" s="2">
        <v>1397</v>
      </c>
      <c r="B102" s="2">
        <v>150</v>
      </c>
      <c r="C102" s="2">
        <v>0.8</v>
      </c>
      <c r="D102" s="2">
        <v>5</v>
      </c>
      <c r="E102" s="2">
        <v>1.25</v>
      </c>
      <c r="F102" s="2" t="s">
        <v>23</v>
      </c>
      <c r="G102" s="2">
        <v>15</v>
      </c>
      <c r="H102">
        <v>3.16</v>
      </c>
      <c r="I102">
        <v>1</v>
      </c>
      <c r="J102">
        <v>7.55</v>
      </c>
      <c r="K102">
        <v>4.3499999999999996</v>
      </c>
      <c r="L102">
        <v>3.24</v>
      </c>
      <c r="M102">
        <v>26.28</v>
      </c>
      <c r="N102">
        <v>1.54</v>
      </c>
      <c r="O102">
        <v>2.2599999999999998</v>
      </c>
      <c r="P102">
        <v>3.75</v>
      </c>
      <c r="Q102">
        <v>3.19</v>
      </c>
      <c r="R102">
        <v>1</v>
      </c>
      <c r="S102">
        <v>1.62</v>
      </c>
      <c r="T102">
        <v>0.98</v>
      </c>
      <c r="U102">
        <v>3.8</v>
      </c>
      <c r="V102">
        <v>1.1599999999999999</v>
      </c>
      <c r="W102">
        <v>1</v>
      </c>
    </row>
    <row r="103" spans="1:23" x14ac:dyDescent="0.45">
      <c r="A103" s="2">
        <v>1398</v>
      </c>
      <c r="B103" s="2">
        <v>90</v>
      </c>
      <c r="C103" s="2">
        <v>0.65</v>
      </c>
      <c r="D103" s="2">
        <v>5</v>
      </c>
      <c r="E103" s="2">
        <v>3.75</v>
      </c>
      <c r="F103" s="2" t="s">
        <v>23</v>
      </c>
      <c r="G103" s="2">
        <v>15</v>
      </c>
      <c r="H103">
        <v>1.66</v>
      </c>
      <c r="I103">
        <v>1</v>
      </c>
      <c r="J103">
        <v>2.62</v>
      </c>
      <c r="K103">
        <v>16.59</v>
      </c>
      <c r="L103">
        <v>9.6199999999999992</v>
      </c>
      <c r="M103">
        <v>40.06</v>
      </c>
      <c r="N103">
        <v>1.06</v>
      </c>
      <c r="O103">
        <v>4.8</v>
      </c>
      <c r="P103">
        <v>1.22</v>
      </c>
      <c r="Q103">
        <v>8.09</v>
      </c>
      <c r="R103">
        <v>1</v>
      </c>
      <c r="S103">
        <v>0.6</v>
      </c>
      <c r="T103">
        <v>4.82</v>
      </c>
      <c r="U103">
        <v>1.4</v>
      </c>
      <c r="V103">
        <v>8.5</v>
      </c>
      <c r="W103">
        <v>1</v>
      </c>
    </row>
    <row r="104" spans="1:23" x14ac:dyDescent="0.45">
      <c r="A104" s="2">
        <v>1399</v>
      </c>
      <c r="B104" s="2">
        <v>120</v>
      </c>
      <c r="C104" s="2">
        <v>0.8</v>
      </c>
      <c r="D104" s="2">
        <v>5</v>
      </c>
      <c r="E104" s="2">
        <v>3.75</v>
      </c>
      <c r="F104" s="2" t="s">
        <v>23</v>
      </c>
      <c r="G104" s="2">
        <v>15</v>
      </c>
      <c r="H104">
        <v>2.48</v>
      </c>
      <c r="I104">
        <v>1</v>
      </c>
      <c r="J104">
        <v>2.66</v>
      </c>
      <c r="K104">
        <v>16.66</v>
      </c>
      <c r="L104">
        <v>9.64</v>
      </c>
      <c r="M104">
        <v>35.840000000000003</v>
      </c>
      <c r="N104">
        <v>1.9</v>
      </c>
      <c r="O104">
        <v>4.84</v>
      </c>
      <c r="P104">
        <v>1.31</v>
      </c>
      <c r="Q104">
        <v>8.15</v>
      </c>
      <c r="R104">
        <v>1</v>
      </c>
      <c r="S104">
        <v>0.57999999999999996</v>
      </c>
      <c r="T104">
        <v>4.8</v>
      </c>
      <c r="U104">
        <v>1.35</v>
      </c>
      <c r="V104">
        <v>8.51</v>
      </c>
      <c r="W104">
        <v>1</v>
      </c>
    </row>
    <row r="105" spans="1:23" x14ac:dyDescent="0.45">
      <c r="A105" s="2">
        <v>1400</v>
      </c>
      <c r="B105" s="2">
        <v>150</v>
      </c>
      <c r="C105" s="2">
        <v>0.5</v>
      </c>
      <c r="D105" s="2">
        <v>5</v>
      </c>
      <c r="E105" s="2">
        <v>3.75</v>
      </c>
      <c r="F105" s="2" t="s">
        <v>23</v>
      </c>
      <c r="G105" s="2">
        <v>15</v>
      </c>
      <c r="H105">
        <v>2.1800000000000002</v>
      </c>
      <c r="I105">
        <v>1</v>
      </c>
      <c r="J105">
        <v>2.58</v>
      </c>
      <c r="K105">
        <v>16.690000000000001</v>
      </c>
      <c r="L105">
        <v>9.64</v>
      </c>
      <c r="M105">
        <v>30.74</v>
      </c>
      <c r="N105">
        <v>1.6</v>
      </c>
      <c r="O105">
        <v>4.82</v>
      </c>
      <c r="P105">
        <v>1.23</v>
      </c>
      <c r="Q105">
        <v>8.19</v>
      </c>
      <c r="R105">
        <v>1</v>
      </c>
      <c r="S105">
        <v>0.57999999999999996</v>
      </c>
      <c r="T105">
        <v>4.82</v>
      </c>
      <c r="U105">
        <v>1.35</v>
      </c>
      <c r="V105">
        <v>8.5</v>
      </c>
      <c r="W105">
        <v>1</v>
      </c>
    </row>
    <row r="106" spans="1:23" x14ac:dyDescent="0.45">
      <c r="A106" s="2">
        <v>1401</v>
      </c>
      <c r="B106" s="2">
        <v>90</v>
      </c>
      <c r="C106" s="2">
        <v>0.95</v>
      </c>
      <c r="D106" s="2">
        <v>5</v>
      </c>
      <c r="E106" s="2">
        <v>1.25</v>
      </c>
      <c r="F106" s="2" t="s">
        <v>23</v>
      </c>
      <c r="G106" s="2">
        <v>15</v>
      </c>
      <c r="H106">
        <v>3.26</v>
      </c>
      <c r="I106">
        <v>1</v>
      </c>
      <c r="J106">
        <v>7.68</v>
      </c>
      <c r="K106">
        <v>5.4</v>
      </c>
      <c r="L106">
        <v>9.92</v>
      </c>
      <c r="M106">
        <v>35.979999999999997</v>
      </c>
      <c r="N106">
        <v>1.64</v>
      </c>
      <c r="O106">
        <v>2.3199999999999998</v>
      </c>
      <c r="P106">
        <v>3.79</v>
      </c>
      <c r="Q106">
        <v>3.38</v>
      </c>
      <c r="R106">
        <v>1</v>
      </c>
      <c r="S106">
        <v>1.62</v>
      </c>
      <c r="T106">
        <v>7.6</v>
      </c>
      <c r="U106">
        <v>3.9</v>
      </c>
      <c r="V106">
        <v>2.02</v>
      </c>
      <c r="W106">
        <v>1</v>
      </c>
    </row>
    <row r="107" spans="1:23" x14ac:dyDescent="0.45">
      <c r="A107" s="2">
        <v>1402</v>
      </c>
      <c r="B107" s="2">
        <v>30</v>
      </c>
      <c r="C107" s="2">
        <v>0.5</v>
      </c>
      <c r="D107" s="2">
        <v>5</v>
      </c>
      <c r="E107" s="2">
        <v>3.75</v>
      </c>
      <c r="F107" s="2" t="s">
        <v>23</v>
      </c>
      <c r="G107" s="2">
        <v>15</v>
      </c>
      <c r="H107">
        <v>2.02</v>
      </c>
      <c r="I107">
        <v>1</v>
      </c>
      <c r="J107">
        <v>2.4700000000000002</v>
      </c>
      <c r="K107">
        <v>16.670000000000002</v>
      </c>
      <c r="L107">
        <v>9.6199999999999992</v>
      </c>
      <c r="M107">
        <v>32.78</v>
      </c>
      <c r="N107">
        <v>1.42</v>
      </c>
      <c r="O107">
        <v>4.84</v>
      </c>
      <c r="P107">
        <v>1.22</v>
      </c>
      <c r="Q107">
        <v>8.2200000000000006</v>
      </c>
      <c r="R107">
        <v>1</v>
      </c>
      <c r="S107">
        <v>0.6</v>
      </c>
      <c r="T107">
        <v>4.78</v>
      </c>
      <c r="U107">
        <v>1.25</v>
      </c>
      <c r="V107">
        <v>8.4499999999999993</v>
      </c>
      <c r="W107">
        <v>1</v>
      </c>
    </row>
    <row r="108" spans="1:23" x14ac:dyDescent="0.45">
      <c r="A108" s="2">
        <v>1403</v>
      </c>
      <c r="B108" s="2">
        <v>90</v>
      </c>
      <c r="C108" s="2">
        <v>0.8</v>
      </c>
      <c r="D108" s="2">
        <v>5</v>
      </c>
      <c r="E108" s="2">
        <v>1.25</v>
      </c>
      <c r="F108" s="2" t="s">
        <v>23</v>
      </c>
      <c r="G108" s="2">
        <v>15</v>
      </c>
      <c r="H108">
        <v>3.22</v>
      </c>
      <c r="I108">
        <v>1</v>
      </c>
      <c r="J108">
        <v>7.48</v>
      </c>
      <c r="K108">
        <v>5.43</v>
      </c>
      <c r="L108">
        <v>13.62</v>
      </c>
      <c r="M108">
        <v>37.28</v>
      </c>
      <c r="N108">
        <v>1.6</v>
      </c>
      <c r="O108">
        <v>2.2999999999999998</v>
      </c>
      <c r="P108">
        <v>3.73</v>
      </c>
      <c r="Q108">
        <v>3.28</v>
      </c>
      <c r="R108">
        <v>1</v>
      </c>
      <c r="S108">
        <v>1.62</v>
      </c>
      <c r="T108">
        <v>11.32</v>
      </c>
      <c r="U108">
        <v>3.75</v>
      </c>
      <c r="V108">
        <v>2.15</v>
      </c>
      <c r="W108">
        <v>1</v>
      </c>
    </row>
    <row r="109" spans="1:23" x14ac:dyDescent="0.45">
      <c r="A109" s="2">
        <v>1404</v>
      </c>
      <c r="B109" s="2">
        <v>90</v>
      </c>
      <c r="C109" s="2">
        <v>0.5</v>
      </c>
      <c r="D109" s="2">
        <v>4</v>
      </c>
      <c r="E109" s="2">
        <v>2</v>
      </c>
      <c r="F109" s="2" t="s">
        <v>23</v>
      </c>
      <c r="G109" s="2">
        <v>15</v>
      </c>
      <c r="H109">
        <v>1.84</v>
      </c>
      <c r="I109">
        <v>1</v>
      </c>
      <c r="J109">
        <v>3.87</v>
      </c>
      <c r="K109">
        <v>8.01</v>
      </c>
      <c r="L109">
        <v>5.16</v>
      </c>
      <c r="M109">
        <v>31.94</v>
      </c>
      <c r="N109">
        <v>0.96</v>
      </c>
      <c r="O109">
        <v>3</v>
      </c>
      <c r="P109">
        <v>1.87</v>
      </c>
      <c r="Q109">
        <v>4.78</v>
      </c>
      <c r="R109">
        <v>1</v>
      </c>
      <c r="S109">
        <v>0.88</v>
      </c>
      <c r="T109">
        <v>2.16</v>
      </c>
      <c r="U109">
        <v>2</v>
      </c>
      <c r="V109">
        <v>3.24</v>
      </c>
      <c r="W109">
        <v>1</v>
      </c>
    </row>
    <row r="110" spans="1:23" x14ac:dyDescent="0.45">
      <c r="A110" s="2">
        <v>1405</v>
      </c>
      <c r="B110" s="2">
        <v>150</v>
      </c>
      <c r="C110" s="2">
        <v>0.65</v>
      </c>
      <c r="D110" s="2">
        <v>5</v>
      </c>
      <c r="E110" s="2">
        <v>1.25</v>
      </c>
      <c r="F110" s="2" t="s">
        <v>23</v>
      </c>
      <c r="G110" s="2">
        <v>16</v>
      </c>
      <c r="H110">
        <v>3.2</v>
      </c>
      <c r="I110">
        <v>1</v>
      </c>
      <c r="J110">
        <v>7.61</v>
      </c>
      <c r="K110">
        <v>5.39</v>
      </c>
      <c r="L110">
        <v>29.92</v>
      </c>
      <c r="M110">
        <v>53.14</v>
      </c>
      <c r="N110">
        <v>1.58</v>
      </c>
      <c r="O110">
        <v>2.2599999999999998</v>
      </c>
      <c r="P110">
        <v>3.71</v>
      </c>
      <c r="Q110">
        <v>3.33</v>
      </c>
      <c r="R110">
        <v>1</v>
      </c>
      <c r="S110">
        <v>1.62</v>
      </c>
      <c r="T110">
        <v>27.66</v>
      </c>
      <c r="U110">
        <v>3.9</v>
      </c>
      <c r="V110">
        <v>2.06</v>
      </c>
      <c r="W110">
        <v>1</v>
      </c>
    </row>
    <row r="111" spans="1:23" x14ac:dyDescent="0.45">
      <c r="A111" s="2">
        <v>1406</v>
      </c>
      <c r="B111" s="2">
        <v>150</v>
      </c>
      <c r="C111" s="2">
        <v>0.8</v>
      </c>
      <c r="D111" s="2">
        <v>5</v>
      </c>
      <c r="E111" s="2">
        <v>1.25</v>
      </c>
      <c r="F111" s="2" t="s">
        <v>23</v>
      </c>
      <c r="G111" s="2">
        <v>16</v>
      </c>
      <c r="H111">
        <v>3.32</v>
      </c>
      <c r="I111">
        <v>1</v>
      </c>
      <c r="J111">
        <v>7.7</v>
      </c>
      <c r="K111">
        <v>5.5</v>
      </c>
      <c r="L111">
        <v>7.8</v>
      </c>
      <c r="M111">
        <v>33.24</v>
      </c>
      <c r="N111">
        <v>1.72</v>
      </c>
      <c r="O111">
        <v>2.2400000000000002</v>
      </c>
      <c r="P111">
        <v>3.85</v>
      </c>
      <c r="Q111">
        <v>3.27</v>
      </c>
      <c r="R111">
        <v>1</v>
      </c>
      <c r="S111">
        <v>1.6</v>
      </c>
      <c r="T111">
        <v>5.56</v>
      </c>
      <c r="U111">
        <v>3.85</v>
      </c>
      <c r="V111">
        <v>2.2400000000000002</v>
      </c>
      <c r="W111">
        <v>1</v>
      </c>
    </row>
    <row r="112" spans="1:23" x14ac:dyDescent="0.45">
      <c r="A112" s="2">
        <v>1407</v>
      </c>
      <c r="B112" s="2">
        <v>90</v>
      </c>
      <c r="C112" s="2">
        <v>0.65</v>
      </c>
      <c r="D112" s="2">
        <v>5</v>
      </c>
      <c r="E112" s="2">
        <v>3.75</v>
      </c>
      <c r="F112" s="2" t="s">
        <v>23</v>
      </c>
      <c r="G112" s="2">
        <v>16</v>
      </c>
      <c r="H112">
        <v>1.1399999999999999</v>
      </c>
      <c r="I112">
        <v>1</v>
      </c>
      <c r="J112">
        <v>2.56</v>
      </c>
      <c r="K112">
        <v>16.75</v>
      </c>
      <c r="L112">
        <v>9.64</v>
      </c>
      <c r="M112">
        <v>36.26</v>
      </c>
      <c r="N112">
        <v>0.56000000000000005</v>
      </c>
      <c r="O112">
        <v>4.82</v>
      </c>
      <c r="P112">
        <v>1.26</v>
      </c>
      <c r="Q112">
        <v>8.14</v>
      </c>
      <c r="R112">
        <v>1</v>
      </c>
      <c r="S112">
        <v>0.57999999999999996</v>
      </c>
      <c r="T112">
        <v>4.82</v>
      </c>
      <c r="U112">
        <v>1.3</v>
      </c>
      <c r="V112">
        <v>8.61</v>
      </c>
      <c r="W112">
        <v>1</v>
      </c>
    </row>
    <row r="113" spans="1:23" x14ac:dyDescent="0.45">
      <c r="A113" s="2">
        <v>1408</v>
      </c>
      <c r="B113" s="2">
        <v>120</v>
      </c>
      <c r="C113" s="2">
        <v>0.8</v>
      </c>
      <c r="D113" s="2">
        <v>5</v>
      </c>
      <c r="E113" s="2">
        <v>3.75</v>
      </c>
      <c r="F113" s="2" t="s">
        <v>23</v>
      </c>
      <c r="G113" s="2">
        <v>16</v>
      </c>
      <c r="H113">
        <v>1.8</v>
      </c>
      <c r="I113">
        <v>1</v>
      </c>
      <c r="J113">
        <v>2.54</v>
      </c>
      <c r="K113">
        <v>16.7</v>
      </c>
      <c r="L113">
        <v>9.6999999999999993</v>
      </c>
      <c r="M113">
        <v>34.22</v>
      </c>
      <c r="N113">
        <v>1.22</v>
      </c>
      <c r="O113">
        <v>4.8600000000000003</v>
      </c>
      <c r="P113">
        <v>1.19</v>
      </c>
      <c r="Q113">
        <v>8.15</v>
      </c>
      <c r="R113">
        <v>1</v>
      </c>
      <c r="S113">
        <v>0.57999999999999996</v>
      </c>
      <c r="T113">
        <v>4.84</v>
      </c>
      <c r="U113">
        <v>1.35</v>
      </c>
      <c r="V113">
        <v>8.5500000000000007</v>
      </c>
      <c r="W113">
        <v>1</v>
      </c>
    </row>
    <row r="114" spans="1:23" x14ac:dyDescent="0.45">
      <c r="A114" s="2">
        <v>1409</v>
      </c>
      <c r="B114" s="2">
        <v>150</v>
      </c>
      <c r="C114" s="2">
        <v>0.5</v>
      </c>
      <c r="D114" s="2">
        <v>5</v>
      </c>
      <c r="E114" s="2">
        <v>3.75</v>
      </c>
      <c r="F114" s="2" t="s">
        <v>23</v>
      </c>
      <c r="G114" s="2">
        <v>16</v>
      </c>
      <c r="H114">
        <v>1.4</v>
      </c>
      <c r="I114">
        <v>1</v>
      </c>
      <c r="J114">
        <v>2.52</v>
      </c>
      <c r="K114">
        <v>16.489999999999998</v>
      </c>
      <c r="L114">
        <v>9.68</v>
      </c>
      <c r="M114">
        <v>32.020000000000003</v>
      </c>
      <c r="N114">
        <v>0.82</v>
      </c>
      <c r="O114">
        <v>4.84</v>
      </c>
      <c r="P114">
        <v>1.27</v>
      </c>
      <c r="Q114">
        <v>8.0299999999999994</v>
      </c>
      <c r="R114">
        <v>1</v>
      </c>
      <c r="S114">
        <v>0.57999999999999996</v>
      </c>
      <c r="T114">
        <v>4.84</v>
      </c>
      <c r="U114">
        <v>1.25</v>
      </c>
      <c r="V114">
        <v>8.4600000000000009</v>
      </c>
      <c r="W114">
        <v>1</v>
      </c>
    </row>
    <row r="115" spans="1:23" x14ac:dyDescent="0.45">
      <c r="A115" s="2">
        <v>1410</v>
      </c>
      <c r="B115" s="2">
        <v>90</v>
      </c>
      <c r="C115" s="2">
        <v>0.95</v>
      </c>
      <c r="D115" s="2">
        <v>5</v>
      </c>
      <c r="E115" s="2">
        <v>1.25</v>
      </c>
      <c r="F115" s="2" t="s">
        <v>23</v>
      </c>
      <c r="G115" s="2">
        <v>16</v>
      </c>
      <c r="H115">
        <v>3.18</v>
      </c>
      <c r="I115">
        <v>1</v>
      </c>
      <c r="J115">
        <v>7.58</v>
      </c>
      <c r="K115">
        <v>5.32</v>
      </c>
      <c r="L115">
        <v>26.46</v>
      </c>
      <c r="M115">
        <v>49.42</v>
      </c>
      <c r="N115">
        <v>1.56</v>
      </c>
      <c r="O115">
        <v>2.2400000000000002</v>
      </c>
      <c r="P115">
        <v>3.73</v>
      </c>
      <c r="Q115">
        <v>3.12</v>
      </c>
      <c r="R115">
        <v>1</v>
      </c>
      <c r="S115">
        <v>1.62</v>
      </c>
      <c r="T115">
        <v>24.22</v>
      </c>
      <c r="U115">
        <v>3.85</v>
      </c>
      <c r="V115">
        <v>2.2000000000000002</v>
      </c>
      <c r="W115">
        <v>1</v>
      </c>
    </row>
    <row r="116" spans="1:23" x14ac:dyDescent="0.45">
      <c r="A116" s="2">
        <v>1411</v>
      </c>
      <c r="B116" s="2">
        <v>30</v>
      </c>
      <c r="C116" s="2">
        <v>0.5</v>
      </c>
      <c r="D116" s="2">
        <v>5</v>
      </c>
      <c r="E116" s="2">
        <v>3.75</v>
      </c>
      <c r="F116" s="2" t="s">
        <v>23</v>
      </c>
      <c r="G116" s="2">
        <v>16</v>
      </c>
      <c r="H116">
        <v>2.02</v>
      </c>
      <c r="I116">
        <v>1</v>
      </c>
      <c r="J116">
        <v>2.5099999999999998</v>
      </c>
      <c r="K116">
        <v>16.71</v>
      </c>
      <c r="L116">
        <v>9.7799999999999994</v>
      </c>
      <c r="M116">
        <v>33.18</v>
      </c>
      <c r="N116">
        <v>1.42</v>
      </c>
      <c r="O116">
        <v>4.9400000000000004</v>
      </c>
      <c r="P116">
        <v>1.21</v>
      </c>
      <c r="Q116">
        <v>8.17</v>
      </c>
      <c r="R116">
        <v>1</v>
      </c>
      <c r="S116">
        <v>0.6</v>
      </c>
      <c r="T116">
        <v>4.84</v>
      </c>
      <c r="U116">
        <v>1.3</v>
      </c>
      <c r="V116">
        <v>8.5399999999999991</v>
      </c>
      <c r="W116">
        <v>1</v>
      </c>
    </row>
    <row r="117" spans="1:23" x14ac:dyDescent="0.45">
      <c r="A117" s="2">
        <v>1412</v>
      </c>
      <c r="B117" s="2">
        <v>90</v>
      </c>
      <c r="C117" s="2">
        <v>0.8</v>
      </c>
      <c r="D117" s="2">
        <v>5</v>
      </c>
      <c r="E117" s="2">
        <v>1.25</v>
      </c>
      <c r="F117" s="2" t="s">
        <v>23</v>
      </c>
      <c r="G117" s="2">
        <v>16</v>
      </c>
      <c r="H117">
        <v>4.4400000000000004</v>
      </c>
      <c r="I117">
        <v>1</v>
      </c>
      <c r="J117">
        <v>7.58</v>
      </c>
      <c r="K117">
        <v>4.6100000000000003</v>
      </c>
      <c r="L117">
        <v>3.4</v>
      </c>
      <c r="M117">
        <v>37.08</v>
      </c>
      <c r="N117">
        <v>2.8</v>
      </c>
      <c r="O117">
        <v>2.38</v>
      </c>
      <c r="P117">
        <v>3.78</v>
      </c>
      <c r="Q117">
        <v>3.38</v>
      </c>
      <c r="R117">
        <v>1</v>
      </c>
      <c r="S117">
        <v>1.64</v>
      </c>
      <c r="T117">
        <v>1.02</v>
      </c>
      <c r="U117">
        <v>3.8</v>
      </c>
      <c r="V117">
        <v>1.22</v>
      </c>
      <c r="W117">
        <v>1</v>
      </c>
    </row>
    <row r="118" spans="1:23" x14ac:dyDescent="0.45">
      <c r="A118" s="2">
        <v>1413</v>
      </c>
      <c r="B118" s="2">
        <v>90</v>
      </c>
      <c r="C118" s="2">
        <v>0.5</v>
      </c>
      <c r="D118" s="2">
        <v>4</v>
      </c>
      <c r="E118" s="2">
        <v>2</v>
      </c>
      <c r="F118" s="2" t="s">
        <v>23</v>
      </c>
      <c r="G118" s="2">
        <v>16</v>
      </c>
      <c r="H118">
        <v>1.72</v>
      </c>
      <c r="I118">
        <v>1</v>
      </c>
      <c r="J118">
        <v>3.99</v>
      </c>
      <c r="K118">
        <v>7.87</v>
      </c>
      <c r="L118">
        <v>5.24</v>
      </c>
      <c r="M118">
        <v>31.08</v>
      </c>
      <c r="N118">
        <v>0.82</v>
      </c>
      <c r="O118">
        <v>3.1</v>
      </c>
      <c r="P118">
        <v>1.95</v>
      </c>
      <c r="Q118">
        <v>4.7</v>
      </c>
      <c r="R118">
        <v>1</v>
      </c>
      <c r="S118">
        <v>0.9</v>
      </c>
      <c r="T118">
        <v>2.14</v>
      </c>
      <c r="U118">
        <v>2.04</v>
      </c>
      <c r="V118">
        <v>3.17</v>
      </c>
      <c r="W118">
        <v>1</v>
      </c>
    </row>
    <row r="119" spans="1:23" x14ac:dyDescent="0.45">
      <c r="A119" s="2">
        <v>1414</v>
      </c>
      <c r="B119" s="2">
        <v>150</v>
      </c>
      <c r="C119" s="2">
        <v>0.65</v>
      </c>
      <c r="D119" s="2">
        <v>5</v>
      </c>
      <c r="E119" s="2">
        <v>1.25</v>
      </c>
      <c r="F119" s="2" t="s">
        <v>23</v>
      </c>
      <c r="G119" s="2">
        <v>17</v>
      </c>
      <c r="H119">
        <v>3.32</v>
      </c>
      <c r="I119">
        <v>1</v>
      </c>
      <c r="J119">
        <v>7.65</v>
      </c>
      <c r="K119">
        <v>5.53</v>
      </c>
      <c r="L119">
        <v>7.82</v>
      </c>
      <c r="M119">
        <v>33.1</v>
      </c>
      <c r="N119">
        <v>1.72</v>
      </c>
      <c r="O119">
        <v>2.2599999999999998</v>
      </c>
      <c r="P119">
        <v>3.8</v>
      </c>
      <c r="Q119">
        <v>3.3</v>
      </c>
      <c r="R119">
        <v>1</v>
      </c>
      <c r="S119">
        <v>1.6</v>
      </c>
      <c r="T119">
        <v>5.56</v>
      </c>
      <c r="U119">
        <v>3.85</v>
      </c>
      <c r="V119">
        <v>2.23</v>
      </c>
      <c r="W119">
        <v>1</v>
      </c>
    </row>
    <row r="120" spans="1:23" x14ac:dyDescent="0.45">
      <c r="A120" s="2">
        <v>1415</v>
      </c>
      <c r="B120" s="2">
        <v>150</v>
      </c>
      <c r="C120" s="2">
        <v>0.8</v>
      </c>
      <c r="D120" s="2">
        <v>5</v>
      </c>
      <c r="E120" s="2">
        <v>1.25</v>
      </c>
      <c r="F120" s="2" t="s">
        <v>23</v>
      </c>
      <c r="G120" s="2">
        <v>17</v>
      </c>
      <c r="H120">
        <v>4.4400000000000004</v>
      </c>
      <c r="I120">
        <v>1</v>
      </c>
      <c r="J120">
        <v>7.65</v>
      </c>
      <c r="K120">
        <v>4.41</v>
      </c>
      <c r="L120">
        <v>3.32</v>
      </c>
      <c r="M120">
        <v>29.58</v>
      </c>
      <c r="N120">
        <v>2.82</v>
      </c>
      <c r="O120">
        <v>2.2999999999999998</v>
      </c>
      <c r="P120">
        <v>3.75</v>
      </c>
      <c r="Q120">
        <v>3.2</v>
      </c>
      <c r="R120">
        <v>1</v>
      </c>
      <c r="S120">
        <v>1.62</v>
      </c>
      <c r="T120">
        <v>1.02</v>
      </c>
      <c r="U120">
        <v>3.9</v>
      </c>
      <c r="V120">
        <v>1.2</v>
      </c>
      <c r="W120">
        <v>1</v>
      </c>
    </row>
    <row r="121" spans="1:23" x14ac:dyDescent="0.45">
      <c r="A121" s="2">
        <v>1416</v>
      </c>
      <c r="B121" s="2">
        <v>90</v>
      </c>
      <c r="C121" s="2">
        <v>0.65</v>
      </c>
      <c r="D121" s="2">
        <v>5</v>
      </c>
      <c r="E121" s="2">
        <v>3.75</v>
      </c>
      <c r="F121" s="2" t="s">
        <v>23</v>
      </c>
      <c r="G121" s="2">
        <v>17</v>
      </c>
      <c r="H121">
        <v>1.34</v>
      </c>
      <c r="I121">
        <v>1</v>
      </c>
      <c r="J121">
        <v>2.38</v>
      </c>
      <c r="K121">
        <v>16.52</v>
      </c>
      <c r="L121">
        <v>9.56</v>
      </c>
      <c r="M121">
        <v>31.06</v>
      </c>
      <c r="N121">
        <v>0.74</v>
      </c>
      <c r="O121">
        <v>4.8</v>
      </c>
      <c r="P121">
        <v>1.1299999999999999</v>
      </c>
      <c r="Q121">
        <v>8.07</v>
      </c>
      <c r="R121">
        <v>1</v>
      </c>
      <c r="S121">
        <v>0.6</v>
      </c>
      <c r="T121">
        <v>4.76</v>
      </c>
      <c r="U121">
        <v>1.25</v>
      </c>
      <c r="V121">
        <v>8.44</v>
      </c>
      <c r="W121">
        <v>1</v>
      </c>
    </row>
    <row r="122" spans="1:23" x14ac:dyDescent="0.45">
      <c r="A122" s="2">
        <v>1417</v>
      </c>
      <c r="B122" s="2">
        <v>120</v>
      </c>
      <c r="C122" s="2">
        <v>0.8</v>
      </c>
      <c r="D122" s="2">
        <v>5</v>
      </c>
      <c r="E122" s="2">
        <v>3.75</v>
      </c>
      <c r="F122" s="2" t="s">
        <v>23</v>
      </c>
      <c r="G122" s="2">
        <v>17</v>
      </c>
      <c r="H122">
        <v>1.64</v>
      </c>
      <c r="I122">
        <v>1</v>
      </c>
      <c r="J122">
        <v>2.54</v>
      </c>
      <c r="K122">
        <v>16.78</v>
      </c>
      <c r="L122">
        <v>9.64</v>
      </c>
      <c r="M122">
        <v>33.86</v>
      </c>
      <c r="N122">
        <v>1.06</v>
      </c>
      <c r="O122">
        <v>4.84</v>
      </c>
      <c r="P122">
        <v>1.24</v>
      </c>
      <c r="Q122">
        <v>8.2100000000000009</v>
      </c>
      <c r="R122">
        <v>1</v>
      </c>
      <c r="S122">
        <v>0.57999999999999996</v>
      </c>
      <c r="T122">
        <v>4.8</v>
      </c>
      <c r="U122">
        <v>1.3</v>
      </c>
      <c r="V122">
        <v>8.57</v>
      </c>
      <c r="W122">
        <v>1</v>
      </c>
    </row>
    <row r="123" spans="1:23" x14ac:dyDescent="0.45">
      <c r="A123" s="2">
        <v>1418</v>
      </c>
      <c r="B123" s="2">
        <v>150</v>
      </c>
      <c r="C123" s="2">
        <v>0.5</v>
      </c>
      <c r="D123" s="2">
        <v>5</v>
      </c>
      <c r="E123" s="2">
        <v>3.75</v>
      </c>
      <c r="F123" s="2" t="s">
        <v>23</v>
      </c>
      <c r="G123" s="2">
        <v>17</v>
      </c>
      <c r="H123">
        <v>1.34</v>
      </c>
      <c r="I123">
        <v>1</v>
      </c>
      <c r="J123">
        <v>2.5299999999999998</v>
      </c>
      <c r="K123">
        <v>16.61</v>
      </c>
      <c r="L123">
        <v>9.68</v>
      </c>
      <c r="M123">
        <v>29.86</v>
      </c>
      <c r="N123">
        <v>0.76</v>
      </c>
      <c r="O123">
        <v>4.78</v>
      </c>
      <c r="P123">
        <v>1.18</v>
      </c>
      <c r="Q123">
        <v>8.07</v>
      </c>
      <c r="R123">
        <v>1</v>
      </c>
      <c r="S123">
        <v>0.57999999999999996</v>
      </c>
      <c r="T123">
        <v>4.9000000000000004</v>
      </c>
      <c r="U123">
        <v>1.35</v>
      </c>
      <c r="V123">
        <v>8.5399999999999991</v>
      </c>
      <c r="W123">
        <v>1</v>
      </c>
    </row>
    <row r="124" spans="1:23" x14ac:dyDescent="0.45">
      <c r="A124" s="2">
        <v>1419</v>
      </c>
      <c r="B124" s="2">
        <v>90</v>
      </c>
      <c r="C124" s="2">
        <v>0.95</v>
      </c>
      <c r="D124" s="2">
        <v>5</v>
      </c>
      <c r="E124" s="2">
        <v>1.25</v>
      </c>
      <c r="F124" s="2" t="s">
        <v>23</v>
      </c>
      <c r="G124" s="2">
        <v>17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45">
      <c r="A125" s="2">
        <v>1420</v>
      </c>
      <c r="B125" s="2">
        <v>30</v>
      </c>
      <c r="C125" s="2">
        <v>0.5</v>
      </c>
      <c r="D125" s="2">
        <v>5</v>
      </c>
      <c r="E125" s="2">
        <v>3.75</v>
      </c>
      <c r="F125" s="2" t="s">
        <v>23</v>
      </c>
      <c r="G125" s="2">
        <v>17</v>
      </c>
      <c r="H125">
        <v>1.58</v>
      </c>
      <c r="I125">
        <v>1</v>
      </c>
      <c r="J125">
        <v>2.64</v>
      </c>
      <c r="K125">
        <v>16.600000000000001</v>
      </c>
      <c r="L125">
        <v>9.6199999999999992</v>
      </c>
      <c r="M125">
        <v>28.96</v>
      </c>
      <c r="N125">
        <v>0.98</v>
      </c>
      <c r="O125">
        <v>4.8</v>
      </c>
      <c r="P125">
        <v>1.24</v>
      </c>
      <c r="Q125">
        <v>8.11</v>
      </c>
      <c r="R125">
        <v>1</v>
      </c>
      <c r="S125">
        <v>0.6</v>
      </c>
      <c r="T125">
        <v>4.82</v>
      </c>
      <c r="U125">
        <v>1.4</v>
      </c>
      <c r="V125">
        <v>8.5</v>
      </c>
      <c r="W125">
        <v>1</v>
      </c>
    </row>
    <row r="126" spans="1:23" x14ac:dyDescent="0.45">
      <c r="A126" s="2">
        <v>1421</v>
      </c>
      <c r="B126" s="2">
        <v>90</v>
      </c>
      <c r="C126" s="2">
        <v>0.8</v>
      </c>
      <c r="D126" s="2">
        <v>5</v>
      </c>
      <c r="E126" s="2">
        <v>1.25</v>
      </c>
      <c r="F126" s="2" t="s">
        <v>23</v>
      </c>
      <c r="G126" s="2">
        <v>17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45">
      <c r="A127" s="2">
        <v>1422</v>
      </c>
      <c r="B127" s="2">
        <v>90</v>
      </c>
      <c r="C127" s="2">
        <v>0.5</v>
      </c>
      <c r="D127" s="2">
        <v>4</v>
      </c>
      <c r="E127" s="2">
        <v>2</v>
      </c>
      <c r="F127" s="2" t="s">
        <v>23</v>
      </c>
      <c r="G127" s="2">
        <v>17</v>
      </c>
      <c r="H127">
        <v>1.76</v>
      </c>
      <c r="I127">
        <v>1</v>
      </c>
      <c r="J127">
        <v>4.03</v>
      </c>
      <c r="K127">
        <v>7.83</v>
      </c>
      <c r="L127">
        <v>5.16</v>
      </c>
      <c r="M127">
        <v>31.02</v>
      </c>
      <c r="N127">
        <v>0.86</v>
      </c>
      <c r="O127">
        <v>3.02</v>
      </c>
      <c r="P127">
        <v>1.89</v>
      </c>
      <c r="Q127">
        <v>4.66</v>
      </c>
      <c r="R127">
        <v>1</v>
      </c>
      <c r="S127">
        <v>0.9</v>
      </c>
      <c r="T127">
        <v>2.14</v>
      </c>
      <c r="U127">
        <v>2.14</v>
      </c>
      <c r="V127">
        <v>3.17</v>
      </c>
      <c r="W127">
        <v>1</v>
      </c>
    </row>
    <row r="128" spans="1:23" x14ac:dyDescent="0.45">
      <c r="A128" s="2">
        <v>1423</v>
      </c>
      <c r="B128" s="2">
        <v>150</v>
      </c>
      <c r="C128" s="2">
        <v>0.65</v>
      </c>
      <c r="D128" s="2">
        <v>5</v>
      </c>
      <c r="E128" s="2">
        <v>1.25</v>
      </c>
      <c r="F128" s="2" t="s">
        <v>23</v>
      </c>
      <c r="G128" s="2">
        <v>18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45">
      <c r="A129" s="2">
        <v>1424</v>
      </c>
      <c r="B129" s="2">
        <v>150</v>
      </c>
      <c r="C129" s="2">
        <v>0.8</v>
      </c>
      <c r="D129" s="2">
        <v>5</v>
      </c>
      <c r="E129" s="2">
        <v>1.25</v>
      </c>
      <c r="F129" s="2" t="s">
        <v>23</v>
      </c>
      <c r="G129" s="2">
        <v>18</v>
      </c>
      <c r="H129">
        <v>3.22</v>
      </c>
      <c r="I129">
        <v>1</v>
      </c>
      <c r="J129">
        <v>7.54</v>
      </c>
      <c r="K129">
        <v>5.32</v>
      </c>
      <c r="L129">
        <v>29.86</v>
      </c>
      <c r="M129">
        <v>53.08</v>
      </c>
      <c r="N129">
        <v>1.6</v>
      </c>
      <c r="O129">
        <v>2.2000000000000002</v>
      </c>
      <c r="P129">
        <v>3.64</v>
      </c>
      <c r="Q129">
        <v>3.25</v>
      </c>
      <c r="R129">
        <v>1</v>
      </c>
      <c r="S129">
        <v>1.62</v>
      </c>
      <c r="T129">
        <v>27.66</v>
      </c>
      <c r="U129">
        <v>3.9</v>
      </c>
      <c r="V129">
        <v>2.06</v>
      </c>
      <c r="W129">
        <v>1</v>
      </c>
    </row>
    <row r="130" spans="1:23" x14ac:dyDescent="0.45">
      <c r="A130" s="2">
        <v>1425</v>
      </c>
      <c r="B130" s="2">
        <v>90</v>
      </c>
      <c r="C130" s="2">
        <v>0.65</v>
      </c>
      <c r="D130" s="2">
        <v>5</v>
      </c>
      <c r="E130" s="2">
        <v>3.75</v>
      </c>
      <c r="F130" s="2" t="s">
        <v>23</v>
      </c>
      <c r="G130" s="2">
        <v>18</v>
      </c>
      <c r="H130">
        <v>1.58</v>
      </c>
      <c r="I130">
        <v>1</v>
      </c>
      <c r="J130">
        <v>2.57</v>
      </c>
      <c r="K130">
        <v>16.63</v>
      </c>
      <c r="L130">
        <v>9.5399999999999991</v>
      </c>
      <c r="M130">
        <v>36.159999999999997</v>
      </c>
      <c r="N130">
        <v>0.98</v>
      </c>
      <c r="O130">
        <v>4.74</v>
      </c>
      <c r="P130">
        <v>1.17</v>
      </c>
      <c r="Q130">
        <v>8.11</v>
      </c>
      <c r="R130">
        <v>1</v>
      </c>
      <c r="S130">
        <v>0.6</v>
      </c>
      <c r="T130">
        <v>4.8</v>
      </c>
      <c r="U130">
        <v>1.4</v>
      </c>
      <c r="V130">
        <v>8.51</v>
      </c>
      <c r="W130">
        <v>1</v>
      </c>
    </row>
    <row r="131" spans="1:23" x14ac:dyDescent="0.45">
      <c r="A131" s="2">
        <v>1426</v>
      </c>
      <c r="B131" s="2">
        <v>120</v>
      </c>
      <c r="C131" s="2">
        <v>0.8</v>
      </c>
      <c r="D131" s="2">
        <v>5</v>
      </c>
      <c r="E131" s="2">
        <v>3.75</v>
      </c>
      <c r="F131" s="2" t="s">
        <v>23</v>
      </c>
      <c r="G131" s="2">
        <v>18</v>
      </c>
      <c r="H131">
        <v>2.58</v>
      </c>
      <c r="I131">
        <v>1</v>
      </c>
      <c r="J131">
        <v>2.52</v>
      </c>
      <c r="K131">
        <v>16.89</v>
      </c>
      <c r="L131">
        <v>9.76</v>
      </c>
      <c r="M131">
        <v>30.46</v>
      </c>
      <c r="N131">
        <v>2</v>
      </c>
      <c r="O131">
        <v>4.88</v>
      </c>
      <c r="P131">
        <v>1.17</v>
      </c>
      <c r="Q131">
        <v>8.3000000000000007</v>
      </c>
      <c r="R131">
        <v>1</v>
      </c>
      <c r="S131">
        <v>0.57999999999999996</v>
      </c>
      <c r="T131">
        <v>4.88</v>
      </c>
      <c r="U131">
        <v>1.35</v>
      </c>
      <c r="V131">
        <v>8.58</v>
      </c>
      <c r="W131">
        <v>1</v>
      </c>
    </row>
    <row r="132" spans="1:23" x14ac:dyDescent="0.45">
      <c r="A132" s="2">
        <v>1427</v>
      </c>
      <c r="B132" s="2">
        <v>150</v>
      </c>
      <c r="C132" s="2">
        <v>0.5</v>
      </c>
      <c r="D132" s="2">
        <v>5</v>
      </c>
      <c r="E132" s="2">
        <v>3.75</v>
      </c>
      <c r="F132" s="2" t="s">
        <v>23</v>
      </c>
      <c r="G132" s="2">
        <v>18</v>
      </c>
      <c r="H132">
        <v>1.3</v>
      </c>
      <c r="I132">
        <v>1</v>
      </c>
      <c r="J132">
        <v>2.38</v>
      </c>
      <c r="K132">
        <v>16.62</v>
      </c>
      <c r="L132">
        <v>9.56</v>
      </c>
      <c r="M132">
        <v>28</v>
      </c>
      <c r="N132">
        <v>0.72</v>
      </c>
      <c r="O132">
        <v>4.6399999999999997</v>
      </c>
      <c r="P132">
        <v>1.0900000000000001</v>
      </c>
      <c r="Q132">
        <v>8.0399999999999991</v>
      </c>
      <c r="R132">
        <v>1</v>
      </c>
      <c r="S132">
        <v>0.57999999999999996</v>
      </c>
      <c r="T132">
        <v>4.92</v>
      </c>
      <c r="U132">
        <v>1.3</v>
      </c>
      <c r="V132">
        <v>8.58</v>
      </c>
      <c r="W132">
        <v>1</v>
      </c>
    </row>
    <row r="133" spans="1:23" x14ac:dyDescent="0.45">
      <c r="A133" s="2">
        <v>1428</v>
      </c>
      <c r="B133" s="2">
        <v>90</v>
      </c>
      <c r="C133" s="2">
        <v>0.95</v>
      </c>
      <c r="D133" s="2">
        <v>5</v>
      </c>
      <c r="E133" s="2">
        <v>1.25</v>
      </c>
      <c r="F133" s="2" t="s">
        <v>23</v>
      </c>
      <c r="G133" s="2">
        <v>18</v>
      </c>
      <c r="H133">
        <v>3.18</v>
      </c>
      <c r="I133">
        <v>1</v>
      </c>
      <c r="J133">
        <v>7.7</v>
      </c>
      <c r="K133">
        <v>4.33</v>
      </c>
      <c r="L133">
        <v>3.18</v>
      </c>
      <c r="M133">
        <v>26.26</v>
      </c>
      <c r="N133">
        <v>1.54</v>
      </c>
      <c r="O133">
        <v>2.2599999999999998</v>
      </c>
      <c r="P133">
        <v>3.75</v>
      </c>
      <c r="Q133">
        <v>3.24</v>
      </c>
      <c r="R133">
        <v>1</v>
      </c>
      <c r="S133">
        <v>1.64</v>
      </c>
      <c r="T133">
        <v>0.92</v>
      </c>
      <c r="U133">
        <v>3.95</v>
      </c>
      <c r="V133">
        <v>1.1000000000000001</v>
      </c>
      <c r="W133">
        <v>1</v>
      </c>
    </row>
    <row r="134" spans="1:23" x14ac:dyDescent="0.45">
      <c r="A134" s="2">
        <v>1429</v>
      </c>
      <c r="B134" s="2">
        <v>30</v>
      </c>
      <c r="C134" s="2">
        <v>0.5</v>
      </c>
      <c r="D134" s="2">
        <v>5</v>
      </c>
      <c r="E134" s="2">
        <v>3.75</v>
      </c>
      <c r="F134" s="2" t="s">
        <v>23</v>
      </c>
      <c r="G134" s="2">
        <v>18</v>
      </c>
      <c r="H134">
        <v>1.4</v>
      </c>
      <c r="I134">
        <v>1</v>
      </c>
      <c r="J134">
        <v>2.63</v>
      </c>
      <c r="K134">
        <v>16.66</v>
      </c>
      <c r="L134">
        <v>9.68</v>
      </c>
      <c r="M134">
        <v>28.68</v>
      </c>
      <c r="N134">
        <v>0.8</v>
      </c>
      <c r="O134">
        <v>4.84</v>
      </c>
      <c r="P134">
        <v>1.23</v>
      </c>
      <c r="Q134">
        <v>8.1</v>
      </c>
      <c r="R134">
        <v>1</v>
      </c>
      <c r="S134">
        <v>0.6</v>
      </c>
      <c r="T134">
        <v>4.84</v>
      </c>
      <c r="U134">
        <v>1.4</v>
      </c>
      <c r="V134">
        <v>8.56</v>
      </c>
      <c r="W134">
        <v>1</v>
      </c>
    </row>
    <row r="135" spans="1:23" x14ac:dyDescent="0.45">
      <c r="A135" s="2">
        <v>1430</v>
      </c>
      <c r="B135" s="2">
        <v>90</v>
      </c>
      <c r="C135" s="2">
        <v>0.8</v>
      </c>
      <c r="D135" s="2">
        <v>5</v>
      </c>
      <c r="E135" s="2">
        <v>1.25</v>
      </c>
      <c r="F135" s="2" t="s">
        <v>23</v>
      </c>
      <c r="G135" s="2">
        <v>18</v>
      </c>
      <c r="H135">
        <v>3.28</v>
      </c>
      <c r="I135">
        <v>1</v>
      </c>
      <c r="J135">
        <v>7.58</v>
      </c>
      <c r="K135">
        <v>4.43</v>
      </c>
      <c r="L135">
        <v>3.28</v>
      </c>
      <c r="M135">
        <v>27.98</v>
      </c>
      <c r="N135">
        <v>1.64</v>
      </c>
      <c r="O135">
        <v>2.2599999999999998</v>
      </c>
      <c r="P135">
        <v>3.78</v>
      </c>
      <c r="Q135">
        <v>3.21</v>
      </c>
      <c r="R135">
        <v>1</v>
      </c>
      <c r="S135">
        <v>1.64</v>
      </c>
      <c r="T135">
        <v>1.02</v>
      </c>
      <c r="U135">
        <v>3.8</v>
      </c>
      <c r="V135">
        <v>1.21</v>
      </c>
      <c r="W135">
        <v>1</v>
      </c>
    </row>
    <row r="136" spans="1:23" x14ac:dyDescent="0.45">
      <c r="A136" s="2">
        <v>1431</v>
      </c>
      <c r="B136" s="2">
        <v>90</v>
      </c>
      <c r="C136" s="2">
        <v>0.5</v>
      </c>
      <c r="D136" s="2">
        <v>4</v>
      </c>
      <c r="E136" s="2">
        <v>2</v>
      </c>
      <c r="F136" s="2" t="s">
        <v>23</v>
      </c>
      <c r="G136" s="2">
        <v>18</v>
      </c>
      <c r="H136">
        <v>1.88</v>
      </c>
      <c r="I136">
        <v>1</v>
      </c>
      <c r="J136">
        <v>4.0999999999999996</v>
      </c>
      <c r="K136">
        <v>7.81</v>
      </c>
      <c r="L136">
        <v>5.14</v>
      </c>
      <c r="M136">
        <v>29.1</v>
      </c>
      <c r="N136">
        <v>0.98</v>
      </c>
      <c r="O136">
        <v>3.06</v>
      </c>
      <c r="P136">
        <v>2.0499999999999998</v>
      </c>
      <c r="Q136">
        <v>4.71</v>
      </c>
      <c r="R136">
        <v>1</v>
      </c>
      <c r="S136">
        <v>0.9</v>
      </c>
      <c r="T136">
        <v>2.08</v>
      </c>
      <c r="U136">
        <v>2.0499999999999998</v>
      </c>
      <c r="V136">
        <v>3.11</v>
      </c>
      <c r="W136">
        <v>1</v>
      </c>
    </row>
    <row r="137" spans="1:23" x14ac:dyDescent="0.45">
      <c r="A137" s="2">
        <v>1432</v>
      </c>
      <c r="B137" s="2">
        <v>150</v>
      </c>
      <c r="C137" s="2">
        <v>0.65</v>
      </c>
      <c r="D137" s="2">
        <v>5</v>
      </c>
      <c r="E137" s="2">
        <v>1.25</v>
      </c>
      <c r="F137" s="2" t="s">
        <v>23</v>
      </c>
      <c r="G137" s="2">
        <v>19</v>
      </c>
      <c r="H137">
        <v>3.2</v>
      </c>
      <c r="I137">
        <v>1</v>
      </c>
      <c r="J137">
        <v>7.58</v>
      </c>
      <c r="K137">
        <v>4.7</v>
      </c>
      <c r="L137">
        <v>3.36</v>
      </c>
      <c r="M137">
        <v>26.04</v>
      </c>
      <c r="N137">
        <v>1.58</v>
      </c>
      <c r="O137">
        <v>2.2799999999999998</v>
      </c>
      <c r="P137">
        <v>3.73</v>
      </c>
      <c r="Q137">
        <v>3.38</v>
      </c>
      <c r="R137">
        <v>1</v>
      </c>
      <c r="S137">
        <v>1.62</v>
      </c>
      <c r="T137">
        <v>1.08</v>
      </c>
      <c r="U137">
        <v>3.85</v>
      </c>
      <c r="V137">
        <v>1.32</v>
      </c>
      <c r="W137">
        <v>1</v>
      </c>
    </row>
    <row r="138" spans="1:23" x14ac:dyDescent="0.45">
      <c r="A138" s="2">
        <v>1433</v>
      </c>
      <c r="B138" s="2">
        <v>150</v>
      </c>
      <c r="C138" s="2">
        <v>0.8</v>
      </c>
      <c r="D138" s="2">
        <v>5</v>
      </c>
      <c r="E138" s="2">
        <v>1.25</v>
      </c>
      <c r="F138" s="2" t="s">
        <v>23</v>
      </c>
      <c r="G138" s="2">
        <v>19</v>
      </c>
      <c r="H138">
        <v>3.14</v>
      </c>
      <c r="I138">
        <v>1</v>
      </c>
      <c r="J138">
        <v>7.6</v>
      </c>
      <c r="K138">
        <v>5.6</v>
      </c>
      <c r="L138">
        <v>31.04</v>
      </c>
      <c r="M138">
        <v>62.2</v>
      </c>
      <c r="N138">
        <v>1.54</v>
      </c>
      <c r="O138">
        <v>2.2400000000000002</v>
      </c>
      <c r="P138">
        <v>3.7</v>
      </c>
      <c r="Q138">
        <v>3.29</v>
      </c>
      <c r="R138">
        <v>1</v>
      </c>
      <c r="S138">
        <v>1.6</v>
      </c>
      <c r="T138">
        <v>28.8</v>
      </c>
      <c r="U138">
        <v>3.9</v>
      </c>
      <c r="V138">
        <v>2.31</v>
      </c>
      <c r="W138">
        <v>1</v>
      </c>
    </row>
    <row r="139" spans="1:23" x14ac:dyDescent="0.45">
      <c r="A139" s="2">
        <v>1434</v>
      </c>
      <c r="B139" s="2">
        <v>90</v>
      </c>
      <c r="C139" s="2">
        <v>0.65</v>
      </c>
      <c r="D139" s="2">
        <v>5</v>
      </c>
      <c r="E139" s="2">
        <v>3.75</v>
      </c>
      <c r="F139" s="2" t="s">
        <v>23</v>
      </c>
      <c r="G139" s="2">
        <v>19</v>
      </c>
      <c r="H139">
        <v>1.7</v>
      </c>
      <c r="I139">
        <v>1</v>
      </c>
      <c r="J139">
        <v>2.59</v>
      </c>
      <c r="K139">
        <v>16.59</v>
      </c>
      <c r="L139">
        <v>9.6</v>
      </c>
      <c r="M139">
        <v>32.299999999999997</v>
      </c>
      <c r="N139">
        <v>1.1000000000000001</v>
      </c>
      <c r="O139">
        <v>4.82</v>
      </c>
      <c r="P139">
        <v>1.24</v>
      </c>
      <c r="Q139">
        <v>8.09</v>
      </c>
      <c r="R139">
        <v>1</v>
      </c>
      <c r="S139">
        <v>0.6</v>
      </c>
      <c r="T139">
        <v>4.78</v>
      </c>
      <c r="U139">
        <v>1.35</v>
      </c>
      <c r="V139">
        <v>8.5</v>
      </c>
      <c r="W139">
        <v>1</v>
      </c>
    </row>
    <row r="140" spans="1:23" x14ac:dyDescent="0.45">
      <c r="A140" s="2">
        <v>1435</v>
      </c>
      <c r="B140" s="2">
        <v>120</v>
      </c>
      <c r="C140" s="2">
        <v>0.8</v>
      </c>
      <c r="D140" s="2">
        <v>5</v>
      </c>
      <c r="E140" s="2">
        <v>3.75</v>
      </c>
      <c r="F140" s="2" t="s">
        <v>23</v>
      </c>
      <c r="G140" s="2">
        <v>19</v>
      </c>
      <c r="H140">
        <v>1.74</v>
      </c>
      <c r="I140">
        <v>1</v>
      </c>
      <c r="J140">
        <v>2.5299999999999998</v>
      </c>
      <c r="K140">
        <v>16.649999999999999</v>
      </c>
      <c r="L140">
        <v>9.64</v>
      </c>
      <c r="M140">
        <v>32.5</v>
      </c>
      <c r="N140">
        <v>1.1599999999999999</v>
      </c>
      <c r="O140">
        <v>4.82</v>
      </c>
      <c r="P140">
        <v>1.18</v>
      </c>
      <c r="Q140">
        <v>8.1</v>
      </c>
      <c r="R140">
        <v>1</v>
      </c>
      <c r="S140">
        <v>0.57999999999999996</v>
      </c>
      <c r="T140">
        <v>4.82</v>
      </c>
      <c r="U140">
        <v>1.35</v>
      </c>
      <c r="V140">
        <v>8.5500000000000007</v>
      </c>
      <c r="W140">
        <v>1</v>
      </c>
    </row>
    <row r="141" spans="1:23" x14ac:dyDescent="0.45">
      <c r="A141" s="2">
        <v>1436</v>
      </c>
      <c r="B141" s="2">
        <v>150</v>
      </c>
      <c r="C141" s="2">
        <v>0.5</v>
      </c>
      <c r="D141" s="2">
        <v>5</v>
      </c>
      <c r="E141" s="2">
        <v>3.75</v>
      </c>
      <c r="F141" s="2" t="s">
        <v>23</v>
      </c>
      <c r="G141" s="2">
        <v>19</v>
      </c>
      <c r="H141">
        <v>1.2</v>
      </c>
      <c r="I141">
        <v>1</v>
      </c>
      <c r="J141">
        <v>2.5499999999999998</v>
      </c>
      <c r="K141">
        <v>16.62</v>
      </c>
      <c r="L141">
        <v>9.66</v>
      </c>
      <c r="M141">
        <v>33.46</v>
      </c>
      <c r="N141">
        <v>0.62</v>
      </c>
      <c r="O141">
        <v>4.8600000000000003</v>
      </c>
      <c r="P141">
        <v>1.2</v>
      </c>
      <c r="Q141">
        <v>8.14</v>
      </c>
      <c r="R141">
        <v>1</v>
      </c>
      <c r="S141">
        <v>0.57999999999999996</v>
      </c>
      <c r="T141">
        <v>4.8</v>
      </c>
      <c r="U141">
        <v>1.35</v>
      </c>
      <c r="V141">
        <v>8.48</v>
      </c>
      <c r="W141">
        <v>1</v>
      </c>
    </row>
    <row r="142" spans="1:23" x14ac:dyDescent="0.45">
      <c r="A142" s="2">
        <v>1437</v>
      </c>
      <c r="B142" s="2">
        <v>90</v>
      </c>
      <c r="C142" s="2">
        <v>0.95</v>
      </c>
      <c r="D142" s="2">
        <v>5</v>
      </c>
      <c r="E142" s="2">
        <v>1.25</v>
      </c>
      <c r="F142" s="2" t="s">
        <v>23</v>
      </c>
      <c r="G142" s="2">
        <v>19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45">
      <c r="A143" s="2">
        <v>1438</v>
      </c>
      <c r="B143" s="2">
        <v>30</v>
      </c>
      <c r="C143" s="2">
        <v>0.5</v>
      </c>
      <c r="D143" s="2">
        <v>5</v>
      </c>
      <c r="E143" s="2">
        <v>3.75</v>
      </c>
      <c r="F143" s="2" t="s">
        <v>23</v>
      </c>
      <c r="G143" s="2">
        <v>19</v>
      </c>
      <c r="H143">
        <v>2.68</v>
      </c>
      <c r="I143">
        <v>1</v>
      </c>
      <c r="J143">
        <v>2.57</v>
      </c>
      <c r="K143">
        <v>16.63</v>
      </c>
      <c r="L143">
        <v>9.58</v>
      </c>
      <c r="M143">
        <v>30.5</v>
      </c>
      <c r="N143">
        <v>2.08</v>
      </c>
      <c r="O143">
        <v>4.78</v>
      </c>
      <c r="P143">
        <v>1.22</v>
      </c>
      <c r="Q143">
        <v>8.14</v>
      </c>
      <c r="R143">
        <v>1</v>
      </c>
      <c r="S143">
        <v>0.6</v>
      </c>
      <c r="T143">
        <v>4.8</v>
      </c>
      <c r="U143">
        <v>1.35</v>
      </c>
      <c r="V143">
        <v>8.48</v>
      </c>
      <c r="W143">
        <v>1</v>
      </c>
    </row>
    <row r="144" spans="1:23" x14ac:dyDescent="0.45">
      <c r="A144" s="2">
        <v>1439</v>
      </c>
      <c r="B144" s="2">
        <v>90</v>
      </c>
      <c r="C144" s="2">
        <v>0.8</v>
      </c>
      <c r="D144" s="2">
        <v>5</v>
      </c>
      <c r="E144" s="2">
        <v>1.25</v>
      </c>
      <c r="F144" s="2" t="s">
        <v>23</v>
      </c>
      <c r="G144" s="2">
        <v>19</v>
      </c>
      <c r="H144">
        <v>4.42</v>
      </c>
      <c r="I144">
        <v>1</v>
      </c>
      <c r="J144">
        <v>7.6</v>
      </c>
      <c r="K144">
        <v>4.38</v>
      </c>
      <c r="L144">
        <v>3.22</v>
      </c>
      <c r="M144">
        <v>29.12</v>
      </c>
      <c r="N144">
        <v>2.78</v>
      </c>
      <c r="O144">
        <v>2.2000000000000002</v>
      </c>
      <c r="P144">
        <v>3.75</v>
      </c>
      <c r="Q144">
        <v>3.19</v>
      </c>
      <c r="R144">
        <v>1</v>
      </c>
      <c r="S144">
        <v>1.64</v>
      </c>
      <c r="T144">
        <v>1.02</v>
      </c>
      <c r="U144">
        <v>3.85</v>
      </c>
      <c r="V144">
        <v>1.19</v>
      </c>
      <c r="W144">
        <v>1</v>
      </c>
    </row>
    <row r="145" spans="1:23" x14ac:dyDescent="0.45">
      <c r="A145" s="2">
        <v>1440</v>
      </c>
      <c r="B145" s="2">
        <v>90</v>
      </c>
      <c r="C145" s="2">
        <v>0.5</v>
      </c>
      <c r="D145" s="2">
        <v>4</v>
      </c>
      <c r="E145" s="2">
        <v>2</v>
      </c>
      <c r="F145" s="2" t="s">
        <v>23</v>
      </c>
      <c r="G145" s="2">
        <v>19</v>
      </c>
      <c r="H145">
        <v>1.74</v>
      </c>
      <c r="I145">
        <v>1</v>
      </c>
      <c r="J145">
        <v>4.1100000000000003</v>
      </c>
      <c r="K145">
        <v>7.78</v>
      </c>
      <c r="L145">
        <v>5.18</v>
      </c>
      <c r="M145">
        <v>37.18</v>
      </c>
      <c r="N145">
        <v>0.86</v>
      </c>
      <c r="O145">
        <v>3</v>
      </c>
      <c r="P145">
        <v>2.02</v>
      </c>
      <c r="Q145">
        <v>4.5999999999999996</v>
      </c>
      <c r="R145">
        <v>1</v>
      </c>
      <c r="S145">
        <v>0.88</v>
      </c>
      <c r="T145">
        <v>2.1800000000000002</v>
      </c>
      <c r="U145">
        <v>2.09</v>
      </c>
      <c r="V145">
        <v>3.18</v>
      </c>
      <c r="W145">
        <v>1</v>
      </c>
    </row>
    <row r="146" spans="1:23" x14ac:dyDescent="0.45">
      <c r="A146" s="2">
        <v>1441</v>
      </c>
      <c r="B146" s="2">
        <v>150</v>
      </c>
      <c r="C146" s="2">
        <v>0.65</v>
      </c>
      <c r="D146" s="2">
        <v>5</v>
      </c>
      <c r="E146" s="2">
        <v>1.25</v>
      </c>
      <c r="F146" s="2" t="s">
        <v>23</v>
      </c>
      <c r="G146" s="2">
        <v>20</v>
      </c>
      <c r="H146">
        <v>3.16</v>
      </c>
      <c r="I146">
        <v>1</v>
      </c>
      <c r="J146">
        <v>7.45</v>
      </c>
      <c r="K146">
        <v>4.55</v>
      </c>
      <c r="L146">
        <v>3.32</v>
      </c>
      <c r="M146">
        <v>26.3</v>
      </c>
      <c r="N146">
        <v>1.54</v>
      </c>
      <c r="O146">
        <v>2.2200000000000002</v>
      </c>
      <c r="P146">
        <v>3.65</v>
      </c>
      <c r="Q146">
        <v>3.21</v>
      </c>
      <c r="R146">
        <v>1</v>
      </c>
      <c r="S146">
        <v>1.62</v>
      </c>
      <c r="T146">
        <v>1.1000000000000001</v>
      </c>
      <c r="U146">
        <v>3.8</v>
      </c>
      <c r="V146">
        <v>1.34</v>
      </c>
      <c r="W146">
        <v>1</v>
      </c>
    </row>
    <row r="147" spans="1:23" x14ac:dyDescent="0.45">
      <c r="A147" s="2">
        <v>1442</v>
      </c>
      <c r="B147" s="2">
        <v>150</v>
      </c>
      <c r="C147" s="2">
        <v>0.8</v>
      </c>
      <c r="D147" s="2">
        <v>5</v>
      </c>
      <c r="E147" s="2">
        <v>1.25</v>
      </c>
      <c r="F147" s="2" t="s">
        <v>23</v>
      </c>
      <c r="G147" s="2">
        <v>20</v>
      </c>
      <c r="H147">
        <v>5.7</v>
      </c>
      <c r="I147">
        <v>1</v>
      </c>
      <c r="J147">
        <v>7.73</v>
      </c>
      <c r="K147">
        <v>4.2699999999999996</v>
      </c>
      <c r="L147">
        <v>3.24</v>
      </c>
      <c r="M147">
        <v>31.12</v>
      </c>
      <c r="N147">
        <v>4.08</v>
      </c>
      <c r="O147">
        <v>2.2799999999999998</v>
      </c>
      <c r="P147">
        <v>3.83</v>
      </c>
      <c r="Q147">
        <v>3.08</v>
      </c>
      <c r="R147">
        <v>1</v>
      </c>
      <c r="S147">
        <v>1.62</v>
      </c>
      <c r="T147">
        <v>0.96</v>
      </c>
      <c r="U147">
        <v>3.9</v>
      </c>
      <c r="V147">
        <v>1.2</v>
      </c>
      <c r="W147">
        <v>1</v>
      </c>
    </row>
    <row r="148" spans="1:23" x14ac:dyDescent="0.45">
      <c r="A148" s="2">
        <v>1443</v>
      </c>
      <c r="B148" s="2">
        <v>90</v>
      </c>
      <c r="C148" s="2">
        <v>0.65</v>
      </c>
      <c r="D148" s="2">
        <v>5</v>
      </c>
      <c r="E148" s="2">
        <v>3.75</v>
      </c>
      <c r="F148" s="2" t="s">
        <v>23</v>
      </c>
      <c r="G148" s="2">
        <v>20</v>
      </c>
      <c r="H148">
        <v>2.9</v>
      </c>
      <c r="I148">
        <v>1</v>
      </c>
      <c r="J148">
        <v>2.54</v>
      </c>
      <c r="K148">
        <v>16.75</v>
      </c>
      <c r="L148">
        <v>9.68</v>
      </c>
      <c r="M148">
        <v>30.74</v>
      </c>
      <c r="N148">
        <v>2.2999999999999998</v>
      </c>
      <c r="O148">
        <v>4.8600000000000003</v>
      </c>
      <c r="P148">
        <v>1.1399999999999999</v>
      </c>
      <c r="Q148">
        <v>8.2799999999999994</v>
      </c>
      <c r="R148">
        <v>1</v>
      </c>
      <c r="S148">
        <v>0.6</v>
      </c>
      <c r="T148">
        <v>4.82</v>
      </c>
      <c r="U148">
        <v>1.4</v>
      </c>
      <c r="V148">
        <v>8.4700000000000006</v>
      </c>
      <c r="W148">
        <v>1</v>
      </c>
    </row>
    <row r="149" spans="1:23" x14ac:dyDescent="0.45">
      <c r="A149" s="2">
        <v>1444</v>
      </c>
      <c r="B149" s="2">
        <v>120</v>
      </c>
      <c r="C149" s="2">
        <v>0.8</v>
      </c>
      <c r="D149" s="2">
        <v>5</v>
      </c>
      <c r="E149" s="2">
        <v>3.75</v>
      </c>
      <c r="F149" s="2" t="s">
        <v>23</v>
      </c>
      <c r="G149" s="2">
        <v>20</v>
      </c>
      <c r="H149">
        <v>1.68</v>
      </c>
      <c r="I149">
        <v>1</v>
      </c>
      <c r="J149">
        <v>2.4300000000000002</v>
      </c>
      <c r="K149">
        <v>16.72</v>
      </c>
      <c r="L149">
        <v>9.64</v>
      </c>
      <c r="M149">
        <v>28.9</v>
      </c>
      <c r="N149">
        <v>1.1000000000000001</v>
      </c>
      <c r="O149">
        <v>4.8</v>
      </c>
      <c r="P149">
        <v>1.1299999999999999</v>
      </c>
      <c r="Q149">
        <v>8.19</v>
      </c>
      <c r="R149">
        <v>1</v>
      </c>
      <c r="S149">
        <v>0.57999999999999996</v>
      </c>
      <c r="T149">
        <v>4.84</v>
      </c>
      <c r="U149">
        <v>1.3</v>
      </c>
      <c r="V149">
        <v>8.5299999999999994</v>
      </c>
      <c r="W149">
        <v>1</v>
      </c>
    </row>
    <row r="150" spans="1:23" x14ac:dyDescent="0.45">
      <c r="A150" s="2">
        <v>1445</v>
      </c>
      <c r="B150" s="2">
        <v>150</v>
      </c>
      <c r="C150" s="2">
        <v>0.5</v>
      </c>
      <c r="D150" s="2">
        <v>5</v>
      </c>
      <c r="E150" s="2">
        <v>3.75</v>
      </c>
      <c r="F150" s="2" t="s">
        <v>23</v>
      </c>
      <c r="G150" s="2">
        <v>20</v>
      </c>
      <c r="H150">
        <v>1.82</v>
      </c>
      <c r="I150">
        <v>1</v>
      </c>
      <c r="J150">
        <v>2.5099999999999998</v>
      </c>
      <c r="K150">
        <v>16.59</v>
      </c>
      <c r="L150">
        <v>9.6</v>
      </c>
      <c r="M150">
        <v>36.659999999999997</v>
      </c>
      <c r="N150">
        <v>1.24</v>
      </c>
      <c r="O150">
        <v>4.76</v>
      </c>
      <c r="P150">
        <v>1.1599999999999999</v>
      </c>
      <c r="Q150">
        <v>8.07</v>
      </c>
      <c r="R150">
        <v>1</v>
      </c>
      <c r="S150">
        <v>0.57999999999999996</v>
      </c>
      <c r="T150">
        <v>4.84</v>
      </c>
      <c r="U150">
        <v>1.35</v>
      </c>
      <c r="V150">
        <v>8.52</v>
      </c>
      <c r="W150">
        <v>1</v>
      </c>
    </row>
    <row r="151" spans="1:23" x14ac:dyDescent="0.45">
      <c r="A151" s="2">
        <v>1446</v>
      </c>
      <c r="B151" s="2">
        <v>90</v>
      </c>
      <c r="C151" s="2">
        <v>0.95</v>
      </c>
      <c r="D151" s="2">
        <v>5</v>
      </c>
      <c r="E151" s="2">
        <v>1.25</v>
      </c>
      <c r="F151" s="2" t="s">
        <v>23</v>
      </c>
      <c r="G151" s="2">
        <v>20</v>
      </c>
      <c r="H151">
        <v>3.2</v>
      </c>
      <c r="I151">
        <v>1</v>
      </c>
      <c r="J151">
        <v>7.59</v>
      </c>
      <c r="K151">
        <v>4.3099999999999996</v>
      </c>
      <c r="L151">
        <v>3.14</v>
      </c>
      <c r="M151">
        <v>26.14</v>
      </c>
      <c r="N151">
        <v>1.56</v>
      </c>
      <c r="O151">
        <v>2.1800000000000002</v>
      </c>
      <c r="P151">
        <v>3.74</v>
      </c>
      <c r="Q151">
        <v>3.19</v>
      </c>
      <c r="R151">
        <v>1</v>
      </c>
      <c r="S151">
        <v>1.64</v>
      </c>
      <c r="T151">
        <v>0.96</v>
      </c>
      <c r="U151">
        <v>3.85</v>
      </c>
      <c r="V151">
        <v>1.1200000000000001</v>
      </c>
      <c r="W151">
        <v>1</v>
      </c>
    </row>
    <row r="152" spans="1:23" x14ac:dyDescent="0.45">
      <c r="A152" s="2">
        <v>1447</v>
      </c>
      <c r="B152" s="2">
        <v>30</v>
      </c>
      <c r="C152" s="2">
        <v>0.5</v>
      </c>
      <c r="D152" s="2">
        <v>5</v>
      </c>
      <c r="E152" s="2">
        <v>3.75</v>
      </c>
      <c r="F152" s="2" t="s">
        <v>23</v>
      </c>
      <c r="G152" s="2">
        <v>20</v>
      </c>
      <c r="H152">
        <v>1.34</v>
      </c>
      <c r="I152">
        <v>1</v>
      </c>
      <c r="J152">
        <v>2.52</v>
      </c>
      <c r="K152">
        <v>16.670000000000002</v>
      </c>
      <c r="L152">
        <v>9.6199999999999992</v>
      </c>
      <c r="M152">
        <v>28.28</v>
      </c>
      <c r="N152">
        <v>0.74</v>
      </c>
      <c r="O152">
        <v>4.9000000000000004</v>
      </c>
      <c r="P152">
        <v>1.22</v>
      </c>
      <c r="Q152">
        <v>8.25</v>
      </c>
      <c r="R152">
        <v>1</v>
      </c>
      <c r="S152">
        <v>0.6</v>
      </c>
      <c r="T152">
        <v>4.72</v>
      </c>
      <c r="U152">
        <v>1.3</v>
      </c>
      <c r="V152">
        <v>8.42</v>
      </c>
      <c r="W152">
        <v>1</v>
      </c>
    </row>
    <row r="153" spans="1:23" x14ac:dyDescent="0.45">
      <c r="A153" s="2">
        <v>1448</v>
      </c>
      <c r="B153" s="2">
        <v>90</v>
      </c>
      <c r="C153" s="2">
        <v>0.8</v>
      </c>
      <c r="D153" s="2">
        <v>5</v>
      </c>
      <c r="E153" s="2">
        <v>1.25</v>
      </c>
      <c r="F153" s="2" t="s">
        <v>23</v>
      </c>
      <c r="G153" s="2">
        <v>20</v>
      </c>
      <c r="H153">
        <v>3.4</v>
      </c>
      <c r="I153">
        <v>1</v>
      </c>
      <c r="J153">
        <v>7.62</v>
      </c>
      <c r="K153">
        <v>5.45</v>
      </c>
      <c r="L153">
        <v>30.44</v>
      </c>
      <c r="M153">
        <v>54.22</v>
      </c>
      <c r="N153">
        <v>1.78</v>
      </c>
      <c r="O153">
        <v>2.2599999999999998</v>
      </c>
      <c r="P153">
        <v>3.73</v>
      </c>
      <c r="Q153">
        <v>3.19</v>
      </c>
      <c r="R153">
        <v>1</v>
      </c>
      <c r="S153">
        <v>1.62</v>
      </c>
      <c r="T153">
        <v>28.18</v>
      </c>
      <c r="U153">
        <v>3.9</v>
      </c>
      <c r="V153">
        <v>2.2599999999999998</v>
      </c>
      <c r="W153">
        <v>1</v>
      </c>
    </row>
    <row r="154" spans="1:23" x14ac:dyDescent="0.45">
      <c r="A154" s="2">
        <v>1449</v>
      </c>
      <c r="B154" s="2">
        <v>90</v>
      </c>
      <c r="C154" s="2">
        <v>0.5</v>
      </c>
      <c r="D154" s="2">
        <v>4</v>
      </c>
      <c r="E154" s="2">
        <v>2</v>
      </c>
      <c r="F154" s="2" t="s">
        <v>23</v>
      </c>
      <c r="G154" s="2">
        <v>20</v>
      </c>
      <c r="H154">
        <v>1.7</v>
      </c>
      <c r="I154">
        <v>1</v>
      </c>
      <c r="J154">
        <v>3.99</v>
      </c>
      <c r="K154">
        <v>7.89</v>
      </c>
      <c r="L154">
        <v>5.22</v>
      </c>
      <c r="M154">
        <v>30.44</v>
      </c>
      <c r="N154">
        <v>0.82</v>
      </c>
      <c r="O154">
        <v>3.06</v>
      </c>
      <c r="P154">
        <v>1.89</v>
      </c>
      <c r="Q154">
        <v>4.7300000000000004</v>
      </c>
      <c r="R154">
        <v>1</v>
      </c>
      <c r="S154">
        <v>0.88</v>
      </c>
      <c r="T154">
        <v>2.16</v>
      </c>
      <c r="U154">
        <v>2.09</v>
      </c>
      <c r="V154">
        <v>3.16</v>
      </c>
      <c r="W154">
        <v>1</v>
      </c>
    </row>
    <row r="155" spans="1:23" x14ac:dyDescent="0.45">
      <c r="A155" s="2">
        <v>1450</v>
      </c>
      <c r="B155" s="2">
        <v>150</v>
      </c>
      <c r="C155" s="2">
        <v>0.65</v>
      </c>
      <c r="D155" s="2">
        <v>5</v>
      </c>
      <c r="E155" s="2">
        <v>1.25</v>
      </c>
      <c r="F155" s="2" t="s">
        <v>23</v>
      </c>
      <c r="G155" s="2">
        <v>21</v>
      </c>
      <c r="H155">
        <v>3.16</v>
      </c>
      <c r="I155">
        <v>1</v>
      </c>
      <c r="J155">
        <v>7.59</v>
      </c>
      <c r="K155">
        <v>4.49</v>
      </c>
      <c r="L155">
        <v>3.32</v>
      </c>
      <c r="M155">
        <v>26.94</v>
      </c>
      <c r="N155">
        <v>1.54</v>
      </c>
      <c r="O155">
        <v>2.2599999999999998</v>
      </c>
      <c r="P155">
        <v>3.7</v>
      </c>
      <c r="Q155">
        <v>3.17</v>
      </c>
      <c r="R155">
        <v>1</v>
      </c>
      <c r="S155">
        <v>1.62</v>
      </c>
      <c r="T155">
        <v>1.06</v>
      </c>
      <c r="U155">
        <v>3.9</v>
      </c>
      <c r="V155">
        <v>1.32</v>
      </c>
      <c r="W155">
        <v>1</v>
      </c>
    </row>
    <row r="156" spans="1:23" x14ac:dyDescent="0.45">
      <c r="A156" s="2">
        <v>1451</v>
      </c>
      <c r="B156" s="2">
        <v>150</v>
      </c>
      <c r="C156" s="2">
        <v>0.8</v>
      </c>
      <c r="D156" s="2">
        <v>5</v>
      </c>
      <c r="E156" s="2">
        <v>1.25</v>
      </c>
      <c r="F156" s="2" t="s">
        <v>23</v>
      </c>
      <c r="G156" s="2">
        <v>21</v>
      </c>
      <c r="H156">
        <v>3.16</v>
      </c>
      <c r="I156">
        <v>1</v>
      </c>
      <c r="J156">
        <v>7.6</v>
      </c>
      <c r="K156">
        <v>4.3099999999999996</v>
      </c>
      <c r="L156">
        <v>3.18</v>
      </c>
      <c r="M156">
        <v>26.9</v>
      </c>
      <c r="N156">
        <v>1.54</v>
      </c>
      <c r="O156">
        <v>2.2000000000000002</v>
      </c>
      <c r="P156">
        <v>3.7</v>
      </c>
      <c r="Q156">
        <v>3.16</v>
      </c>
      <c r="R156">
        <v>1</v>
      </c>
      <c r="S156">
        <v>1.62</v>
      </c>
      <c r="T156">
        <v>0.98</v>
      </c>
      <c r="U156">
        <v>3.9</v>
      </c>
      <c r="V156">
        <v>1.1399999999999999</v>
      </c>
      <c r="W156">
        <v>1</v>
      </c>
    </row>
    <row r="157" spans="1:23" x14ac:dyDescent="0.45">
      <c r="A157" s="2">
        <v>1452</v>
      </c>
      <c r="B157" s="2">
        <v>90</v>
      </c>
      <c r="C157" s="2">
        <v>0.65</v>
      </c>
      <c r="D157" s="2">
        <v>5</v>
      </c>
      <c r="E157" s="2">
        <v>3.75</v>
      </c>
      <c r="F157" s="2" t="s">
        <v>23</v>
      </c>
      <c r="G157" s="2">
        <v>21</v>
      </c>
      <c r="H157">
        <v>2.04</v>
      </c>
      <c r="I157">
        <v>1</v>
      </c>
      <c r="J157">
        <v>2.48</v>
      </c>
      <c r="K157">
        <v>16.66</v>
      </c>
      <c r="L157">
        <v>9.6199999999999992</v>
      </c>
      <c r="M157">
        <v>34.56</v>
      </c>
      <c r="N157">
        <v>1.44</v>
      </c>
      <c r="O157">
        <v>4.84</v>
      </c>
      <c r="P157">
        <v>1.19</v>
      </c>
      <c r="Q157">
        <v>8.23</v>
      </c>
      <c r="R157">
        <v>1</v>
      </c>
      <c r="S157">
        <v>0.6</v>
      </c>
      <c r="T157">
        <v>4.78</v>
      </c>
      <c r="U157">
        <v>1.3</v>
      </c>
      <c r="V157">
        <v>8.43</v>
      </c>
      <c r="W157">
        <v>1</v>
      </c>
    </row>
    <row r="158" spans="1:23" x14ac:dyDescent="0.45">
      <c r="A158" s="2">
        <v>1453</v>
      </c>
      <c r="B158" s="2">
        <v>120</v>
      </c>
      <c r="C158" s="2">
        <v>0.8</v>
      </c>
      <c r="D158" s="2">
        <v>5</v>
      </c>
      <c r="E158" s="2">
        <v>3.75</v>
      </c>
      <c r="F158" s="2" t="s">
        <v>23</v>
      </c>
      <c r="G158" s="2">
        <v>21</v>
      </c>
      <c r="H158">
        <v>1.42</v>
      </c>
      <c r="I158">
        <v>1</v>
      </c>
      <c r="J158">
        <v>2.5099999999999998</v>
      </c>
      <c r="K158">
        <v>16.75</v>
      </c>
      <c r="L158">
        <v>9.7200000000000006</v>
      </c>
      <c r="M158">
        <v>36.380000000000003</v>
      </c>
      <c r="N158">
        <v>0.84</v>
      </c>
      <c r="O158">
        <v>4.9000000000000004</v>
      </c>
      <c r="P158">
        <v>1.21</v>
      </c>
      <c r="Q158">
        <v>8.2200000000000006</v>
      </c>
      <c r="R158">
        <v>1</v>
      </c>
      <c r="S158">
        <v>0.57999999999999996</v>
      </c>
      <c r="T158">
        <v>4.82</v>
      </c>
      <c r="U158">
        <v>1.3</v>
      </c>
      <c r="V158">
        <v>8.5399999999999991</v>
      </c>
      <c r="W158">
        <v>1</v>
      </c>
    </row>
    <row r="159" spans="1:23" x14ac:dyDescent="0.45">
      <c r="A159" s="2">
        <v>1454</v>
      </c>
      <c r="B159" s="2">
        <v>150</v>
      </c>
      <c r="C159" s="2">
        <v>0.5</v>
      </c>
      <c r="D159" s="2">
        <v>5</v>
      </c>
      <c r="E159" s="2">
        <v>3.75</v>
      </c>
      <c r="F159" s="2" t="s">
        <v>23</v>
      </c>
      <c r="G159" s="2">
        <v>21</v>
      </c>
      <c r="H159">
        <v>1.6</v>
      </c>
      <c r="I159">
        <v>1</v>
      </c>
      <c r="J159">
        <v>2.54</v>
      </c>
      <c r="K159">
        <v>16.7</v>
      </c>
      <c r="L159">
        <v>9.7200000000000006</v>
      </c>
      <c r="M159">
        <v>32.08</v>
      </c>
      <c r="N159">
        <v>1.02</v>
      </c>
      <c r="O159">
        <v>4.8600000000000003</v>
      </c>
      <c r="P159">
        <v>1.24</v>
      </c>
      <c r="Q159">
        <v>8.15</v>
      </c>
      <c r="R159">
        <v>1</v>
      </c>
      <c r="S159">
        <v>0.57999999999999996</v>
      </c>
      <c r="T159">
        <v>4.8600000000000003</v>
      </c>
      <c r="U159">
        <v>1.3</v>
      </c>
      <c r="V159">
        <v>8.5500000000000007</v>
      </c>
      <c r="W159">
        <v>1</v>
      </c>
    </row>
    <row r="160" spans="1:23" x14ac:dyDescent="0.45">
      <c r="A160" s="2">
        <v>1455</v>
      </c>
      <c r="B160" s="2">
        <v>90</v>
      </c>
      <c r="C160" s="2">
        <v>0.95</v>
      </c>
      <c r="D160" s="2">
        <v>5</v>
      </c>
      <c r="E160" s="2">
        <v>1.25</v>
      </c>
      <c r="F160" s="2" t="s">
        <v>23</v>
      </c>
      <c r="G160" s="2">
        <v>21</v>
      </c>
      <c r="H160">
        <v>3.16</v>
      </c>
      <c r="I160">
        <v>1</v>
      </c>
      <c r="J160">
        <v>7.54</v>
      </c>
      <c r="K160">
        <v>5.1100000000000003</v>
      </c>
      <c r="L160">
        <v>9.7799999999999994</v>
      </c>
      <c r="M160">
        <v>39.479999999999997</v>
      </c>
      <c r="N160">
        <v>1.54</v>
      </c>
      <c r="O160">
        <v>2.2200000000000002</v>
      </c>
      <c r="P160">
        <v>3.64</v>
      </c>
      <c r="Q160">
        <v>3.14</v>
      </c>
      <c r="R160">
        <v>1</v>
      </c>
      <c r="S160">
        <v>1.62</v>
      </c>
      <c r="T160">
        <v>7.56</v>
      </c>
      <c r="U160">
        <v>3.9</v>
      </c>
      <c r="V160">
        <v>1.97</v>
      </c>
      <c r="W160">
        <v>1</v>
      </c>
    </row>
    <row r="161" spans="1:23" x14ac:dyDescent="0.45">
      <c r="A161" s="2">
        <v>1456</v>
      </c>
      <c r="B161" s="2">
        <v>30</v>
      </c>
      <c r="C161" s="2">
        <v>0.5</v>
      </c>
      <c r="D161" s="2">
        <v>5</v>
      </c>
      <c r="E161" s="2">
        <v>3.75</v>
      </c>
      <c r="F161" s="2" t="s">
        <v>23</v>
      </c>
      <c r="G161" s="2">
        <v>21</v>
      </c>
      <c r="H161">
        <v>1.58</v>
      </c>
      <c r="I161">
        <v>1</v>
      </c>
      <c r="J161">
        <v>2.4500000000000002</v>
      </c>
      <c r="K161">
        <v>16.600000000000001</v>
      </c>
      <c r="L161">
        <v>9.5</v>
      </c>
      <c r="M161">
        <v>28.92</v>
      </c>
      <c r="N161">
        <v>0.98</v>
      </c>
      <c r="O161">
        <v>4.7</v>
      </c>
      <c r="P161">
        <v>1.1000000000000001</v>
      </c>
      <c r="Q161">
        <v>8.1</v>
      </c>
      <c r="R161">
        <v>1</v>
      </c>
      <c r="S161">
        <v>0.6</v>
      </c>
      <c r="T161">
        <v>4.8</v>
      </c>
      <c r="U161">
        <v>1.35</v>
      </c>
      <c r="V161">
        <v>8.51</v>
      </c>
      <c r="W161">
        <v>1</v>
      </c>
    </row>
    <row r="162" spans="1:23" x14ac:dyDescent="0.45">
      <c r="A162" s="2">
        <v>1457</v>
      </c>
      <c r="B162" s="2">
        <v>90</v>
      </c>
      <c r="C162" s="2">
        <v>0.8</v>
      </c>
      <c r="D162" s="2">
        <v>5</v>
      </c>
      <c r="E162" s="2">
        <v>1.25</v>
      </c>
      <c r="F162" s="2" t="s">
        <v>23</v>
      </c>
      <c r="G162" s="2">
        <v>21</v>
      </c>
      <c r="H162">
        <v>3.18</v>
      </c>
      <c r="I162">
        <v>1</v>
      </c>
      <c r="J162">
        <v>7.54</v>
      </c>
      <c r="K162">
        <v>4.41</v>
      </c>
      <c r="L162">
        <v>3.24</v>
      </c>
      <c r="M162">
        <v>26.68</v>
      </c>
      <c r="N162">
        <v>1.54</v>
      </c>
      <c r="O162">
        <v>2.2599999999999998</v>
      </c>
      <c r="P162">
        <v>3.75</v>
      </c>
      <c r="Q162">
        <v>3.19</v>
      </c>
      <c r="R162">
        <v>1</v>
      </c>
      <c r="S162">
        <v>1.64</v>
      </c>
      <c r="T162">
        <v>0.98</v>
      </c>
      <c r="U162">
        <v>3.8</v>
      </c>
      <c r="V162">
        <v>1.22</v>
      </c>
      <c r="W162">
        <v>1</v>
      </c>
    </row>
    <row r="163" spans="1:23" x14ac:dyDescent="0.45">
      <c r="A163" s="2">
        <v>1458</v>
      </c>
      <c r="B163" s="2">
        <v>90</v>
      </c>
      <c r="C163" s="2">
        <v>0.5</v>
      </c>
      <c r="D163" s="2">
        <v>4</v>
      </c>
      <c r="E163" s="2">
        <v>2</v>
      </c>
      <c r="F163" s="2" t="s">
        <v>23</v>
      </c>
      <c r="G163" s="2">
        <v>21</v>
      </c>
      <c r="H163">
        <v>1.72</v>
      </c>
      <c r="I163">
        <v>1</v>
      </c>
      <c r="J163">
        <v>4.04</v>
      </c>
      <c r="K163">
        <v>7.8</v>
      </c>
      <c r="L163">
        <v>5.22</v>
      </c>
      <c r="M163">
        <v>26.78</v>
      </c>
      <c r="N163">
        <v>0.84</v>
      </c>
      <c r="O163">
        <v>3.06</v>
      </c>
      <c r="P163">
        <v>1.95</v>
      </c>
      <c r="Q163">
        <v>4.6500000000000004</v>
      </c>
      <c r="R163">
        <v>1</v>
      </c>
      <c r="S163">
        <v>0.88</v>
      </c>
      <c r="T163">
        <v>2.16</v>
      </c>
      <c r="U163">
        <v>2.09</v>
      </c>
      <c r="V163">
        <v>3.15</v>
      </c>
      <c r="W163">
        <v>1</v>
      </c>
    </row>
    <row r="164" spans="1:23" x14ac:dyDescent="0.45">
      <c r="A164" s="2">
        <v>1459</v>
      </c>
      <c r="B164" s="2">
        <v>150</v>
      </c>
      <c r="C164" s="2">
        <v>0.65</v>
      </c>
      <c r="D164" s="2">
        <v>5</v>
      </c>
      <c r="E164" s="2">
        <v>1.25</v>
      </c>
      <c r="F164" s="2" t="s">
        <v>23</v>
      </c>
      <c r="G164" s="2">
        <v>22</v>
      </c>
      <c r="H164">
        <v>3.52</v>
      </c>
      <c r="I164">
        <v>1</v>
      </c>
      <c r="J164">
        <v>7.63</v>
      </c>
      <c r="K164">
        <v>5.33</v>
      </c>
      <c r="L164">
        <v>8.0399999999999991</v>
      </c>
      <c r="M164">
        <v>32.340000000000003</v>
      </c>
      <c r="N164">
        <v>1.92</v>
      </c>
      <c r="O164">
        <v>2.2200000000000002</v>
      </c>
      <c r="P164">
        <v>3.73</v>
      </c>
      <c r="Q164">
        <v>3.25</v>
      </c>
      <c r="R164">
        <v>1</v>
      </c>
      <c r="S164">
        <v>1.6</v>
      </c>
      <c r="T164">
        <v>5.82</v>
      </c>
      <c r="U164">
        <v>3.9</v>
      </c>
      <c r="V164">
        <v>2.08</v>
      </c>
      <c r="W164">
        <v>1</v>
      </c>
    </row>
    <row r="165" spans="1:23" x14ac:dyDescent="0.45">
      <c r="A165" s="2">
        <v>1460</v>
      </c>
      <c r="B165" s="2">
        <v>150</v>
      </c>
      <c r="C165" s="2">
        <v>0.8</v>
      </c>
      <c r="D165" s="2">
        <v>5</v>
      </c>
      <c r="E165" s="2">
        <v>1.25</v>
      </c>
      <c r="F165" s="2" t="s">
        <v>23</v>
      </c>
      <c r="G165" s="2">
        <v>22</v>
      </c>
      <c r="H165">
        <v>3.14</v>
      </c>
      <c r="I165">
        <v>1</v>
      </c>
      <c r="J165">
        <v>7.45</v>
      </c>
      <c r="K165">
        <v>4.47</v>
      </c>
      <c r="L165">
        <v>3.34</v>
      </c>
      <c r="M165">
        <v>26.92</v>
      </c>
      <c r="N165">
        <v>1.52</v>
      </c>
      <c r="O165">
        <v>2.3199999999999998</v>
      </c>
      <c r="P165">
        <v>3.7</v>
      </c>
      <c r="Q165">
        <v>3.16</v>
      </c>
      <c r="R165">
        <v>1</v>
      </c>
      <c r="S165">
        <v>1.62</v>
      </c>
      <c r="T165">
        <v>1.02</v>
      </c>
      <c r="U165">
        <v>3.75</v>
      </c>
      <c r="V165">
        <v>1.31</v>
      </c>
      <c r="W165">
        <v>1</v>
      </c>
    </row>
    <row r="166" spans="1:23" x14ac:dyDescent="0.45">
      <c r="A166" s="2">
        <v>1461</v>
      </c>
      <c r="B166" s="2">
        <v>90</v>
      </c>
      <c r="C166" s="2">
        <v>0.65</v>
      </c>
      <c r="D166" s="2">
        <v>5</v>
      </c>
      <c r="E166" s="2">
        <v>3.75</v>
      </c>
      <c r="F166" s="2" t="s">
        <v>23</v>
      </c>
      <c r="G166" s="2">
        <v>22</v>
      </c>
      <c r="H166">
        <v>2.66</v>
      </c>
      <c r="I166">
        <v>1</v>
      </c>
      <c r="J166">
        <v>2.59</v>
      </c>
      <c r="K166">
        <v>16.71</v>
      </c>
      <c r="L166">
        <v>9.6199999999999992</v>
      </c>
      <c r="M166">
        <v>35.82</v>
      </c>
      <c r="N166">
        <v>2.06</v>
      </c>
      <c r="O166">
        <v>4.82</v>
      </c>
      <c r="P166">
        <v>1.24</v>
      </c>
      <c r="Q166">
        <v>8.16</v>
      </c>
      <c r="R166">
        <v>1</v>
      </c>
      <c r="S166">
        <v>0.6</v>
      </c>
      <c r="T166">
        <v>4.8</v>
      </c>
      <c r="U166">
        <v>1.35</v>
      </c>
      <c r="V166">
        <v>8.5500000000000007</v>
      </c>
      <c r="W166">
        <v>1</v>
      </c>
    </row>
    <row r="167" spans="1:23" x14ac:dyDescent="0.45">
      <c r="A167" s="2">
        <v>1462</v>
      </c>
      <c r="B167" s="2">
        <v>120</v>
      </c>
      <c r="C167" s="2">
        <v>0.8</v>
      </c>
      <c r="D167" s="2">
        <v>5</v>
      </c>
      <c r="E167" s="2">
        <v>3.75</v>
      </c>
      <c r="F167" s="2" t="s">
        <v>23</v>
      </c>
      <c r="G167" s="2">
        <v>22</v>
      </c>
      <c r="H167">
        <v>1.3</v>
      </c>
      <c r="I167">
        <v>1</v>
      </c>
      <c r="J167">
        <v>2.57</v>
      </c>
      <c r="K167">
        <v>16.84</v>
      </c>
      <c r="L167">
        <v>9.74</v>
      </c>
      <c r="M167">
        <v>28</v>
      </c>
      <c r="N167">
        <v>0.72</v>
      </c>
      <c r="O167">
        <v>4.84</v>
      </c>
      <c r="P167">
        <v>1.22</v>
      </c>
      <c r="Q167">
        <v>8.25</v>
      </c>
      <c r="R167">
        <v>1</v>
      </c>
      <c r="S167">
        <v>0.57999999999999996</v>
      </c>
      <c r="T167">
        <v>4.9000000000000004</v>
      </c>
      <c r="U167">
        <v>1.35</v>
      </c>
      <c r="V167">
        <v>8.59</v>
      </c>
      <c r="W167">
        <v>1</v>
      </c>
    </row>
    <row r="168" spans="1:23" x14ac:dyDescent="0.45">
      <c r="A168" s="2">
        <v>1463</v>
      </c>
      <c r="B168" s="2">
        <v>150</v>
      </c>
      <c r="C168" s="2">
        <v>0.5</v>
      </c>
      <c r="D168" s="2">
        <v>5</v>
      </c>
      <c r="E168" s="2">
        <v>3.75</v>
      </c>
      <c r="F168" s="2" t="s">
        <v>23</v>
      </c>
      <c r="G168" s="2">
        <v>22</v>
      </c>
      <c r="H168">
        <v>1.42</v>
      </c>
      <c r="I168">
        <v>1</v>
      </c>
      <c r="J168">
        <v>2.4500000000000002</v>
      </c>
      <c r="K168">
        <v>16.77</v>
      </c>
      <c r="L168">
        <v>9.74</v>
      </c>
      <c r="M168">
        <v>28.66</v>
      </c>
      <c r="N168">
        <v>0.84</v>
      </c>
      <c r="O168">
        <v>4.9000000000000004</v>
      </c>
      <c r="P168">
        <v>1.2</v>
      </c>
      <c r="Q168">
        <v>8.1999999999999993</v>
      </c>
      <c r="R168">
        <v>1</v>
      </c>
      <c r="S168">
        <v>0.57999999999999996</v>
      </c>
      <c r="T168">
        <v>4.84</v>
      </c>
      <c r="U168">
        <v>1.25</v>
      </c>
      <c r="V168">
        <v>8.57</v>
      </c>
      <c r="W168">
        <v>1</v>
      </c>
    </row>
    <row r="169" spans="1:23" x14ac:dyDescent="0.45">
      <c r="A169" s="2">
        <v>1464</v>
      </c>
      <c r="B169" s="2">
        <v>90</v>
      </c>
      <c r="C169" s="2">
        <v>0.95</v>
      </c>
      <c r="D169" s="2">
        <v>5</v>
      </c>
      <c r="E169" s="2">
        <v>1.25</v>
      </c>
      <c r="F169" s="2" t="s">
        <v>23</v>
      </c>
      <c r="G169" s="2">
        <v>22</v>
      </c>
      <c r="H169">
        <v>3.36</v>
      </c>
      <c r="I169">
        <v>1</v>
      </c>
      <c r="J169">
        <v>7.53</v>
      </c>
      <c r="K169">
        <v>4.4400000000000004</v>
      </c>
      <c r="L169">
        <v>3.26</v>
      </c>
      <c r="M169">
        <v>28.24</v>
      </c>
      <c r="N169">
        <v>1.72</v>
      </c>
      <c r="O169">
        <v>2.3199999999999998</v>
      </c>
      <c r="P169">
        <v>3.73</v>
      </c>
      <c r="Q169">
        <v>3.34</v>
      </c>
      <c r="R169">
        <v>1</v>
      </c>
      <c r="S169">
        <v>1.64</v>
      </c>
      <c r="T169">
        <v>0.94</v>
      </c>
      <c r="U169">
        <v>3.8</v>
      </c>
      <c r="V169">
        <v>1.1100000000000001</v>
      </c>
      <c r="W169">
        <v>1</v>
      </c>
    </row>
    <row r="170" spans="1:23" x14ac:dyDescent="0.45">
      <c r="A170" s="2">
        <v>1465</v>
      </c>
      <c r="B170" s="2">
        <v>30</v>
      </c>
      <c r="C170" s="2">
        <v>0.5</v>
      </c>
      <c r="D170" s="2">
        <v>5</v>
      </c>
      <c r="E170" s="2">
        <v>3.75</v>
      </c>
      <c r="F170" s="2" t="s">
        <v>23</v>
      </c>
      <c r="G170" s="2">
        <v>22</v>
      </c>
      <c r="H170">
        <v>1.96</v>
      </c>
      <c r="I170">
        <v>1</v>
      </c>
      <c r="J170">
        <v>2.4900000000000002</v>
      </c>
      <c r="K170">
        <v>16.79</v>
      </c>
      <c r="L170">
        <v>9.6199999999999992</v>
      </c>
      <c r="M170">
        <v>32.5</v>
      </c>
      <c r="N170">
        <v>1.36</v>
      </c>
      <c r="O170">
        <v>4.8</v>
      </c>
      <c r="P170">
        <v>1.1399999999999999</v>
      </c>
      <c r="Q170">
        <v>8.23</v>
      </c>
      <c r="R170">
        <v>1</v>
      </c>
      <c r="S170">
        <v>0.6</v>
      </c>
      <c r="T170">
        <v>4.82</v>
      </c>
      <c r="U170">
        <v>1.35</v>
      </c>
      <c r="V170">
        <v>8.56</v>
      </c>
      <c r="W170">
        <v>1</v>
      </c>
    </row>
    <row r="171" spans="1:23" x14ac:dyDescent="0.45">
      <c r="A171" s="2">
        <v>1466</v>
      </c>
      <c r="B171" s="2">
        <v>90</v>
      </c>
      <c r="C171" s="2">
        <v>0.8</v>
      </c>
      <c r="D171" s="2">
        <v>5</v>
      </c>
      <c r="E171" s="2">
        <v>1.25</v>
      </c>
      <c r="F171" s="2" t="s">
        <v>23</v>
      </c>
      <c r="G171" s="2">
        <v>22</v>
      </c>
      <c r="H171">
        <v>3.18</v>
      </c>
      <c r="I171">
        <v>1</v>
      </c>
      <c r="J171">
        <v>7.54</v>
      </c>
      <c r="K171">
        <v>5.19</v>
      </c>
      <c r="L171">
        <v>55.42</v>
      </c>
      <c r="M171">
        <v>78.78</v>
      </c>
      <c r="N171">
        <v>1.56</v>
      </c>
      <c r="O171">
        <v>2.2599999999999998</v>
      </c>
      <c r="P171">
        <v>3.79</v>
      </c>
      <c r="Q171">
        <v>3.2</v>
      </c>
      <c r="R171">
        <v>1</v>
      </c>
      <c r="S171">
        <v>1.62</v>
      </c>
      <c r="T171">
        <v>53.16</v>
      </c>
      <c r="U171">
        <v>3.75</v>
      </c>
      <c r="V171">
        <v>1.99</v>
      </c>
      <c r="W171">
        <v>1</v>
      </c>
    </row>
    <row r="172" spans="1:23" x14ac:dyDescent="0.45">
      <c r="A172" s="2">
        <v>1467</v>
      </c>
      <c r="B172" s="2">
        <v>90</v>
      </c>
      <c r="C172" s="2">
        <v>0.5</v>
      </c>
      <c r="D172" s="2">
        <v>4</v>
      </c>
      <c r="E172" s="2">
        <v>2</v>
      </c>
      <c r="F172" s="2" t="s">
        <v>23</v>
      </c>
      <c r="G172" s="2">
        <v>22</v>
      </c>
      <c r="H172">
        <v>1.78</v>
      </c>
      <c r="I172">
        <v>1</v>
      </c>
      <c r="J172">
        <v>3.9</v>
      </c>
      <c r="K172">
        <v>7.82</v>
      </c>
      <c r="L172">
        <v>5.12</v>
      </c>
      <c r="M172">
        <v>31.5</v>
      </c>
      <c r="N172">
        <v>0.9</v>
      </c>
      <c r="O172">
        <v>2.98</v>
      </c>
      <c r="P172">
        <v>1.9</v>
      </c>
      <c r="Q172">
        <v>4.67</v>
      </c>
      <c r="R172">
        <v>1</v>
      </c>
      <c r="S172">
        <v>0.88</v>
      </c>
      <c r="T172">
        <v>2.14</v>
      </c>
      <c r="U172">
        <v>2</v>
      </c>
      <c r="V172">
        <v>3.15</v>
      </c>
      <c r="W172">
        <v>1</v>
      </c>
    </row>
    <row r="173" spans="1:23" x14ac:dyDescent="0.45">
      <c r="A173" s="2">
        <v>1468</v>
      </c>
      <c r="B173" s="2">
        <v>150</v>
      </c>
      <c r="C173" s="2">
        <v>0.65</v>
      </c>
      <c r="D173" s="2">
        <v>5</v>
      </c>
      <c r="E173" s="2">
        <v>1.25</v>
      </c>
      <c r="F173" s="2" t="s">
        <v>23</v>
      </c>
      <c r="G173" s="2">
        <v>23</v>
      </c>
      <c r="H173">
        <v>3.16</v>
      </c>
      <c r="I173">
        <v>1</v>
      </c>
      <c r="J173">
        <v>7.65</v>
      </c>
      <c r="K173">
        <v>4.43</v>
      </c>
      <c r="L173">
        <v>3.32</v>
      </c>
      <c r="M173">
        <v>26.46</v>
      </c>
      <c r="N173">
        <v>1.54</v>
      </c>
      <c r="O173">
        <v>2.2999999999999998</v>
      </c>
      <c r="P173">
        <v>3.75</v>
      </c>
      <c r="Q173">
        <v>3.23</v>
      </c>
      <c r="R173">
        <v>1</v>
      </c>
      <c r="S173">
        <v>1.62</v>
      </c>
      <c r="T173">
        <v>1.02</v>
      </c>
      <c r="U173">
        <v>3.9</v>
      </c>
      <c r="V173">
        <v>1.19</v>
      </c>
      <c r="W173">
        <v>1</v>
      </c>
    </row>
    <row r="174" spans="1:23" x14ac:dyDescent="0.45">
      <c r="A174" s="2">
        <v>1469</v>
      </c>
      <c r="B174" s="2">
        <v>150</v>
      </c>
      <c r="C174" s="2">
        <v>0.8</v>
      </c>
      <c r="D174" s="2">
        <v>5</v>
      </c>
      <c r="E174" s="2">
        <v>1.25</v>
      </c>
      <c r="F174" s="2" t="s">
        <v>23</v>
      </c>
      <c r="G174" s="2">
        <v>23</v>
      </c>
      <c r="H174">
        <v>3.32</v>
      </c>
      <c r="I174">
        <v>1</v>
      </c>
      <c r="J174">
        <v>7.65</v>
      </c>
      <c r="K174">
        <v>5.5</v>
      </c>
      <c r="L174">
        <v>7.8</v>
      </c>
      <c r="M174">
        <v>33.08</v>
      </c>
      <c r="N174">
        <v>1.72</v>
      </c>
      <c r="O174">
        <v>2.2400000000000002</v>
      </c>
      <c r="P174">
        <v>3.8</v>
      </c>
      <c r="Q174">
        <v>3.32</v>
      </c>
      <c r="R174">
        <v>1</v>
      </c>
      <c r="S174">
        <v>1.6</v>
      </c>
      <c r="T174">
        <v>5.56</v>
      </c>
      <c r="U174">
        <v>3.85</v>
      </c>
      <c r="V174">
        <v>2.1800000000000002</v>
      </c>
      <c r="W174">
        <v>1</v>
      </c>
    </row>
    <row r="175" spans="1:23" x14ac:dyDescent="0.45">
      <c r="A175" s="2">
        <v>1470</v>
      </c>
      <c r="B175" s="2">
        <v>90</v>
      </c>
      <c r="C175" s="2">
        <v>0.65</v>
      </c>
      <c r="D175" s="2">
        <v>5</v>
      </c>
      <c r="E175" s="2">
        <v>3.75</v>
      </c>
      <c r="F175" s="2" t="s">
        <v>23</v>
      </c>
      <c r="G175" s="2">
        <v>23</v>
      </c>
      <c r="H175">
        <v>1.82</v>
      </c>
      <c r="I175">
        <v>1</v>
      </c>
      <c r="J175">
        <v>2.44</v>
      </c>
      <c r="K175">
        <v>16.559999999999999</v>
      </c>
      <c r="L175">
        <v>9.64</v>
      </c>
      <c r="M175">
        <v>32.520000000000003</v>
      </c>
      <c r="N175">
        <v>1.22</v>
      </c>
      <c r="O175">
        <v>4.84</v>
      </c>
      <c r="P175">
        <v>1.1399999999999999</v>
      </c>
      <c r="Q175">
        <v>8.09</v>
      </c>
      <c r="R175">
        <v>1</v>
      </c>
      <c r="S175">
        <v>0.6</v>
      </c>
      <c r="T175">
        <v>4.8</v>
      </c>
      <c r="U175">
        <v>1.3</v>
      </c>
      <c r="V175">
        <v>8.4700000000000006</v>
      </c>
      <c r="W175">
        <v>1</v>
      </c>
    </row>
    <row r="176" spans="1:23" x14ac:dyDescent="0.45">
      <c r="A176" s="2">
        <v>1471</v>
      </c>
      <c r="B176" s="2">
        <v>120</v>
      </c>
      <c r="C176" s="2">
        <v>0.8</v>
      </c>
      <c r="D176" s="2">
        <v>5</v>
      </c>
      <c r="E176" s="2">
        <v>3.75</v>
      </c>
      <c r="F176" s="2" t="s">
        <v>23</v>
      </c>
      <c r="G176" s="2">
        <v>23</v>
      </c>
      <c r="H176">
        <v>-49.46</v>
      </c>
      <c r="I176">
        <v>0</v>
      </c>
      <c r="J176">
        <v>2.88</v>
      </c>
      <c r="K176">
        <v>10.65</v>
      </c>
      <c r="L176">
        <v>50.96</v>
      </c>
      <c r="M176">
        <v>91.2</v>
      </c>
      <c r="N176">
        <v>0</v>
      </c>
      <c r="O176">
        <v>53.7</v>
      </c>
      <c r="P176">
        <v>1.6</v>
      </c>
      <c r="Q176">
        <v>5.3</v>
      </c>
      <c r="R176">
        <v>0</v>
      </c>
      <c r="S176">
        <v>3.46</v>
      </c>
      <c r="T176">
        <v>0</v>
      </c>
      <c r="U176">
        <v>1.28</v>
      </c>
      <c r="V176">
        <v>5.36</v>
      </c>
      <c r="W176">
        <v>0</v>
      </c>
    </row>
    <row r="177" spans="1:23" x14ac:dyDescent="0.45">
      <c r="A177" s="2">
        <v>1472</v>
      </c>
      <c r="B177" s="2">
        <v>150</v>
      </c>
      <c r="C177" s="2">
        <v>0.5</v>
      </c>
      <c r="D177" s="2">
        <v>5</v>
      </c>
      <c r="E177" s="2">
        <v>3.75</v>
      </c>
      <c r="F177" s="2" t="s">
        <v>23</v>
      </c>
      <c r="G177" s="2">
        <v>23</v>
      </c>
      <c r="H177">
        <v>2.66</v>
      </c>
      <c r="I177">
        <v>1</v>
      </c>
      <c r="J177">
        <v>2.65</v>
      </c>
      <c r="K177">
        <v>16.68</v>
      </c>
      <c r="L177">
        <v>9.7200000000000006</v>
      </c>
      <c r="M177">
        <v>37.24</v>
      </c>
      <c r="N177">
        <v>2.08</v>
      </c>
      <c r="O177">
        <v>4.88</v>
      </c>
      <c r="P177">
        <v>1.3</v>
      </c>
      <c r="Q177">
        <v>8.1300000000000008</v>
      </c>
      <c r="R177">
        <v>1</v>
      </c>
      <c r="S177">
        <v>0.57999999999999996</v>
      </c>
      <c r="T177">
        <v>4.84</v>
      </c>
      <c r="U177">
        <v>1.35</v>
      </c>
      <c r="V177">
        <v>8.5500000000000007</v>
      </c>
      <c r="W177">
        <v>1</v>
      </c>
    </row>
    <row r="178" spans="1:23" x14ac:dyDescent="0.45">
      <c r="A178" s="2">
        <v>1473</v>
      </c>
      <c r="B178" s="2">
        <v>90</v>
      </c>
      <c r="C178" s="2">
        <v>0.95</v>
      </c>
      <c r="D178" s="2">
        <v>5</v>
      </c>
      <c r="E178" s="2">
        <v>1.25</v>
      </c>
      <c r="F178" s="2" t="s">
        <v>23</v>
      </c>
      <c r="G178" s="2">
        <v>23</v>
      </c>
      <c r="H178">
        <v>3.2</v>
      </c>
      <c r="I178">
        <v>1</v>
      </c>
      <c r="J178">
        <v>7.62</v>
      </c>
      <c r="K178">
        <v>5.2</v>
      </c>
      <c r="L178">
        <v>7.84</v>
      </c>
      <c r="M178">
        <v>30.9</v>
      </c>
      <c r="N178">
        <v>1.58</v>
      </c>
      <c r="O178">
        <v>2.2200000000000002</v>
      </c>
      <c r="P178">
        <v>3.73</v>
      </c>
      <c r="Q178">
        <v>3.15</v>
      </c>
      <c r="R178">
        <v>1</v>
      </c>
      <c r="S178">
        <v>1.62</v>
      </c>
      <c r="T178">
        <v>5.62</v>
      </c>
      <c r="U178">
        <v>3.9</v>
      </c>
      <c r="V178">
        <v>2.0499999999999998</v>
      </c>
      <c r="W178">
        <v>1</v>
      </c>
    </row>
    <row r="179" spans="1:23" x14ac:dyDescent="0.45">
      <c r="A179" s="2">
        <v>1474</v>
      </c>
      <c r="B179" s="2">
        <v>30</v>
      </c>
      <c r="C179" s="2">
        <v>0.5</v>
      </c>
      <c r="D179" s="2">
        <v>5</v>
      </c>
      <c r="E179" s="2">
        <v>3.75</v>
      </c>
      <c r="F179" s="2" t="s">
        <v>23</v>
      </c>
      <c r="G179" s="2">
        <v>23</v>
      </c>
      <c r="H179">
        <v>1.6</v>
      </c>
      <c r="I179">
        <v>1</v>
      </c>
      <c r="J179">
        <v>2.52</v>
      </c>
      <c r="K179">
        <v>16.73</v>
      </c>
      <c r="L179">
        <v>9.66</v>
      </c>
      <c r="M179">
        <v>29.22</v>
      </c>
      <c r="N179">
        <v>1</v>
      </c>
      <c r="O179">
        <v>4.8600000000000003</v>
      </c>
      <c r="P179">
        <v>1.1200000000000001</v>
      </c>
      <c r="Q179">
        <v>8.25</v>
      </c>
      <c r="R179">
        <v>1</v>
      </c>
      <c r="S179">
        <v>0.6</v>
      </c>
      <c r="T179">
        <v>4.8</v>
      </c>
      <c r="U179">
        <v>1.4</v>
      </c>
      <c r="V179">
        <v>8.48</v>
      </c>
      <c r="W179">
        <v>1</v>
      </c>
    </row>
    <row r="180" spans="1:23" x14ac:dyDescent="0.45">
      <c r="A180" s="2">
        <v>1475</v>
      </c>
      <c r="B180" s="2">
        <v>90</v>
      </c>
      <c r="C180" s="2">
        <v>0.8</v>
      </c>
      <c r="D180" s="2">
        <v>5</v>
      </c>
      <c r="E180" s="2">
        <v>1.25</v>
      </c>
      <c r="F180" s="2" t="s">
        <v>23</v>
      </c>
      <c r="G180" s="2">
        <v>23</v>
      </c>
      <c r="H180">
        <v>3.84</v>
      </c>
      <c r="I180">
        <v>1</v>
      </c>
      <c r="J180">
        <v>7.65</v>
      </c>
      <c r="K180">
        <v>4.41</v>
      </c>
      <c r="L180">
        <v>3.26</v>
      </c>
      <c r="M180">
        <v>29.28</v>
      </c>
      <c r="N180">
        <v>2.2000000000000002</v>
      </c>
      <c r="O180">
        <v>2.2200000000000002</v>
      </c>
      <c r="P180">
        <v>3.8</v>
      </c>
      <c r="Q180">
        <v>3.19</v>
      </c>
      <c r="R180">
        <v>1</v>
      </c>
      <c r="S180">
        <v>1.64</v>
      </c>
      <c r="T180">
        <v>1.04</v>
      </c>
      <c r="U180">
        <v>3.85</v>
      </c>
      <c r="V180">
        <v>1.22</v>
      </c>
      <c r="W180">
        <v>1</v>
      </c>
    </row>
    <row r="181" spans="1:23" x14ac:dyDescent="0.45">
      <c r="A181" s="2">
        <v>1476</v>
      </c>
      <c r="B181" s="2">
        <v>90</v>
      </c>
      <c r="C181" s="2">
        <v>0.5</v>
      </c>
      <c r="D181" s="2">
        <v>4</v>
      </c>
      <c r="E181" s="2">
        <v>2</v>
      </c>
      <c r="F181" s="2" t="s">
        <v>23</v>
      </c>
      <c r="G181" s="2">
        <v>23</v>
      </c>
      <c r="H181">
        <v>1.76</v>
      </c>
      <c r="I181">
        <v>1</v>
      </c>
      <c r="J181">
        <v>4.03</v>
      </c>
      <c r="K181">
        <v>7.88</v>
      </c>
      <c r="L181">
        <v>5.18</v>
      </c>
      <c r="M181">
        <v>32.299999999999997</v>
      </c>
      <c r="N181">
        <v>0.88</v>
      </c>
      <c r="O181">
        <v>3.08</v>
      </c>
      <c r="P181">
        <v>2.04</v>
      </c>
      <c r="Q181">
        <v>4.6900000000000004</v>
      </c>
      <c r="R181">
        <v>1</v>
      </c>
      <c r="S181">
        <v>0.88</v>
      </c>
      <c r="T181">
        <v>2.1</v>
      </c>
      <c r="U181">
        <v>2</v>
      </c>
      <c r="V181">
        <v>3.19</v>
      </c>
      <c r="W18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25" x14ac:dyDescent="0.45"/>
  <cols>
    <col min="1" max="1" width="6" customWidth="1"/>
    <col min="2" max="2" width="34" customWidth="1"/>
    <col min="3" max="8" width="9" customWidth="1"/>
    <col min="9" max="9" width="11" customWidth="1"/>
    <col min="10" max="11" width="9" customWidth="1"/>
    <col min="12" max="12" width="14" customWidth="1"/>
    <col min="13" max="13" width="11" customWidth="1"/>
    <col min="14" max="14" width="14" customWidth="1"/>
    <col min="15" max="16" width="11" customWidth="1"/>
  </cols>
  <sheetData>
    <row r="1" spans="1:16" ht="16.899999999999999" customHeight="1" x14ac:dyDescent="0.5">
      <c r="A1" s="3" t="s">
        <v>24</v>
      </c>
    </row>
    <row r="2" spans="1:16" x14ac:dyDescent="0.45">
      <c r="A2" s="4" t="s">
        <v>25</v>
      </c>
    </row>
    <row r="4" spans="1:16" ht="42" customHeight="1" x14ac:dyDescent="0.45">
      <c r="A4" s="5" t="s">
        <v>26</v>
      </c>
      <c r="B4" s="5" t="s">
        <v>0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40</v>
      </c>
    </row>
    <row r="5" spans="1:16" x14ac:dyDescent="0.45">
      <c r="A5" s="6" t="s">
        <v>41</v>
      </c>
      <c r="B5" s="7" t="s">
        <v>42</v>
      </c>
      <c r="C5" s="6">
        <f>COUNTIF(Calcolo!$B$2:$B$181,$A5)</f>
        <v>20</v>
      </c>
      <c r="D5" s="6">
        <f>C5-COUNTIFS(Calcolo!$B$2:$B$181,$A5,Calcolo!$I$2:$I$181,"non eseguita")</f>
        <v>20</v>
      </c>
      <c r="E5" s="6">
        <f>COUNTIFS(Calcolo!$B$2:$B$181,$A5,Calcolo!$I$2:$I$181,"riuscita")</f>
        <v>14</v>
      </c>
      <c r="F5" s="8">
        <f t="shared" ref="F5:F14" si="0">IF(D5=0,"",E5/D5)</f>
        <v>0.7</v>
      </c>
      <c r="G5" s="6">
        <f>COUNTIFS(Calcolo!$B$2:$B$181,$A5,Calcolo!$I$2:$I$181,"blocco al totem")</f>
        <v>3</v>
      </c>
      <c r="H5" s="6">
        <f>COUNTIFS(Calcolo!$B$2:$B$181,$A5,Calcolo!$I$2:$I$181,"timeout")</f>
        <v>3</v>
      </c>
      <c r="I5" s="6">
        <f>COUNTIFS(Calcolo!$B$2:$B$181,$A5,Calcolo!$I$2:$I$181,"NavMesh non attivato")</f>
        <v>0</v>
      </c>
      <c r="J5" s="6">
        <f>COUNTIFS(Calcolo!$B$2:$B$181,$A5,Calcolo!$I$2:$I$181,"oltre le soglie")</f>
        <v>0</v>
      </c>
      <c r="K5" s="6">
        <f>COUNTIFS(Calcolo!$B$2:$B$181,$A5,Calcolo!$I$2:$I$181,"tempi negativi")</f>
        <v>0</v>
      </c>
      <c r="L5" s="9">
        <f>IF(E5=0,"",AVERAGEIFS(Calcolo!$D$2:$D$181,Calcolo!$B$2:$B$181,$A5,Calcolo!$I$2:$I$181,"riuscita"))</f>
        <v>29.51</v>
      </c>
      <c r="M5" s="9">
        <f>IF(E5&lt;2,"",SQRT(MAX(0,(SUMPRODUCT((Calcolo!$B$2:$B$181=$A5)*Calcolo!$J$2:$J$181^2)-E5*L5^2)/(E5-1))))</f>
        <v>3.4267881351313196</v>
      </c>
      <c r="N5" s="10">
        <f>INDEX('Piano del test'!$K$5:$K$13,MATCH($A5,'Piano del test'!$A$5:$A$13,0))</f>
        <v>28.67</v>
      </c>
      <c r="O5" s="10">
        <f>INDEX('Piano del test'!$L$5:$L$13,MATCH($A5,'Piano del test'!$A$5:$A$13,0))</f>
        <v>0.59</v>
      </c>
      <c r="P5" s="9">
        <f t="shared" ref="P5:P13" si="1">IF(L5="","",L5-N5)</f>
        <v>0.83999999999999986</v>
      </c>
    </row>
    <row r="6" spans="1:16" x14ac:dyDescent="0.45">
      <c r="A6" s="6" t="s">
        <v>43</v>
      </c>
      <c r="B6" s="7" t="s">
        <v>44</v>
      </c>
      <c r="C6" s="6">
        <f>COUNTIF(Calcolo!$B$2:$B$181,$A6)</f>
        <v>20</v>
      </c>
      <c r="D6" s="6">
        <f>C6-COUNTIFS(Calcolo!$B$2:$B$181,$A6,Calcolo!$I$2:$I$181,"non eseguita")</f>
        <v>20</v>
      </c>
      <c r="E6" s="6">
        <f>COUNTIFS(Calcolo!$B$2:$B$181,$A6,Calcolo!$I$2:$I$181,"riuscita")</f>
        <v>15</v>
      </c>
      <c r="F6" s="8">
        <f t="shared" si="0"/>
        <v>0.75</v>
      </c>
      <c r="G6" s="6">
        <f>COUNTIFS(Calcolo!$B$2:$B$181,$A6,Calcolo!$I$2:$I$181,"blocco al totem")</f>
        <v>4</v>
      </c>
      <c r="H6" s="6">
        <f>COUNTIFS(Calcolo!$B$2:$B$181,$A6,Calcolo!$I$2:$I$181,"timeout")</f>
        <v>1</v>
      </c>
      <c r="I6" s="6">
        <f>COUNTIFS(Calcolo!$B$2:$B$181,$A6,Calcolo!$I$2:$I$181,"NavMesh non attivato")</f>
        <v>0</v>
      </c>
      <c r="J6" s="6">
        <f>COUNTIFS(Calcolo!$B$2:$B$181,$A6,Calcolo!$I$2:$I$181,"oltre le soglie")</f>
        <v>0</v>
      </c>
      <c r="K6" s="6">
        <f>COUNTIFS(Calcolo!$B$2:$B$181,$A6,Calcolo!$I$2:$I$181,"tempi negativi")</f>
        <v>0</v>
      </c>
      <c r="L6" s="9">
        <f>IF(E6=0,"",AVERAGEIFS(Calcolo!$D$2:$D$181,Calcolo!$B$2:$B$181,$A6,Calcolo!$I$2:$I$181,"riuscita"))</f>
        <v>28.391999999999996</v>
      </c>
      <c r="M6" s="9">
        <f>IF(E6&lt;2,"",SQRT(MAX(0,(SUMPRODUCT((Calcolo!$B$2:$B$181=$A6)*Calcolo!$J$2:$J$181^2)-E6*L6^2)/(E6-1))))</f>
        <v>2.5603660452588706</v>
      </c>
      <c r="N6" s="10">
        <f>INDEX('Piano del test'!$K$5:$K$13,MATCH($A6,'Piano del test'!$A$5:$A$13,0))</f>
        <v>29.2</v>
      </c>
      <c r="O6" s="10">
        <f>INDEX('Piano del test'!$L$5:$L$13,MATCH($A6,'Piano del test'!$A$5:$A$13,0))</f>
        <v>2.29</v>
      </c>
      <c r="P6" s="9">
        <f t="shared" si="1"/>
        <v>-0.80800000000000338</v>
      </c>
    </row>
    <row r="7" spans="1:16" x14ac:dyDescent="0.45">
      <c r="A7" s="6" t="s">
        <v>45</v>
      </c>
      <c r="B7" s="7" t="s">
        <v>46</v>
      </c>
      <c r="C7" s="6">
        <f>COUNTIF(Calcolo!$B$2:$B$181,$A7)</f>
        <v>20</v>
      </c>
      <c r="D7" s="6">
        <f>C7-COUNTIFS(Calcolo!$B$2:$B$181,$A7,Calcolo!$I$2:$I$181,"non eseguita")</f>
        <v>20</v>
      </c>
      <c r="E7" s="6">
        <f>COUNTIFS(Calcolo!$B$2:$B$181,$A7,Calcolo!$I$2:$I$181,"riuscita")</f>
        <v>19</v>
      </c>
      <c r="F7" s="8">
        <f t="shared" si="0"/>
        <v>0.95</v>
      </c>
      <c r="G7" s="6">
        <f>COUNTIFS(Calcolo!$B$2:$B$181,$A7,Calcolo!$I$2:$I$181,"blocco al totem")</f>
        <v>0</v>
      </c>
      <c r="H7" s="6">
        <f>COUNTIFS(Calcolo!$B$2:$B$181,$A7,Calcolo!$I$2:$I$181,"timeout")</f>
        <v>1</v>
      </c>
      <c r="I7" s="6">
        <f>COUNTIFS(Calcolo!$B$2:$B$181,$A7,Calcolo!$I$2:$I$181,"NavMesh non attivato")</f>
        <v>0</v>
      </c>
      <c r="J7" s="6">
        <f>COUNTIFS(Calcolo!$B$2:$B$181,$A7,Calcolo!$I$2:$I$181,"oltre le soglie")</f>
        <v>0</v>
      </c>
      <c r="K7" s="6">
        <f>COUNTIFS(Calcolo!$B$2:$B$181,$A7,Calcolo!$I$2:$I$181,"tempi negativi")</f>
        <v>0</v>
      </c>
      <c r="L7" s="9">
        <f>IF(E7=0,"",AVERAGEIFS(Calcolo!$D$2:$D$181,Calcolo!$B$2:$B$181,$A7,Calcolo!$I$2:$I$181,"riuscita"))</f>
        <v>34.22315789473685</v>
      </c>
      <c r="M7" s="9">
        <f>IF(E7&lt;2,"",SQRT(MAX(0,(SUMPRODUCT((Calcolo!$B$2:$B$181=$A7)*Calcolo!$J$2:$J$181^2)-E7*L7^2)/(E7-1))))</f>
        <v>3.02405366764456</v>
      </c>
      <c r="N7" s="10">
        <f>INDEX('Piano del test'!$K$5:$K$13,MATCH($A7,'Piano del test'!$A$5:$A$13,0))</f>
        <v>29.45</v>
      </c>
      <c r="O7" s="10">
        <f>INDEX('Piano del test'!$L$5:$L$13,MATCH($A7,'Piano del test'!$A$5:$A$13,0))</f>
        <v>0.37</v>
      </c>
      <c r="P7" s="9">
        <f t="shared" si="1"/>
        <v>4.7731578947368511</v>
      </c>
    </row>
    <row r="8" spans="1:16" x14ac:dyDescent="0.45">
      <c r="A8" s="6" t="s">
        <v>47</v>
      </c>
      <c r="B8" s="7" t="s">
        <v>48</v>
      </c>
      <c r="C8" s="6">
        <f>COUNTIF(Calcolo!$B$2:$B$181,$A8)</f>
        <v>20</v>
      </c>
      <c r="D8" s="6">
        <f>C8-COUNTIFS(Calcolo!$B$2:$B$181,$A8,Calcolo!$I$2:$I$181,"non eseguita")</f>
        <v>20</v>
      </c>
      <c r="E8" s="6">
        <f>COUNTIFS(Calcolo!$B$2:$B$181,$A8,Calcolo!$I$2:$I$181,"riuscita")</f>
        <v>19</v>
      </c>
      <c r="F8" s="8">
        <f t="shared" si="0"/>
        <v>0.95</v>
      </c>
      <c r="G8" s="6">
        <f>COUNTIFS(Calcolo!$B$2:$B$181,$A8,Calcolo!$I$2:$I$181,"blocco al totem")</f>
        <v>0</v>
      </c>
      <c r="H8" s="6">
        <f>COUNTIFS(Calcolo!$B$2:$B$181,$A8,Calcolo!$I$2:$I$181,"timeout")</f>
        <v>0</v>
      </c>
      <c r="I8" s="6">
        <f>COUNTIFS(Calcolo!$B$2:$B$181,$A8,Calcolo!$I$2:$I$181,"NavMesh non attivato")</f>
        <v>0</v>
      </c>
      <c r="J8" s="6">
        <f>COUNTIFS(Calcolo!$B$2:$B$181,$A8,Calcolo!$I$2:$I$181,"oltre le soglie")</f>
        <v>0</v>
      </c>
      <c r="K8" s="6">
        <f>COUNTIFS(Calcolo!$B$2:$B$181,$A8,Calcolo!$I$2:$I$181,"tempi negativi")</f>
        <v>1</v>
      </c>
      <c r="L8" s="9">
        <f>IF(E8=0,"",AVERAGEIFS(Calcolo!$D$2:$D$181,Calcolo!$B$2:$B$181,$A8,Calcolo!$I$2:$I$181,"riuscita"))</f>
        <v>31.618947368421058</v>
      </c>
      <c r="M8" s="9">
        <f>IF(E8&lt;2,"",SQRT(MAX(0,(SUMPRODUCT((Calcolo!$B$2:$B$181=$A8)*Calcolo!$J$2:$J$181^2)-E8*L8^2)/(E8-1))))</f>
        <v>2.9784222048610252</v>
      </c>
      <c r="N8" s="10">
        <f>INDEX('Piano del test'!$K$5:$K$13,MATCH($A8,'Piano del test'!$A$5:$A$13,0))</f>
        <v>29.78</v>
      </c>
      <c r="O8" s="10">
        <f>INDEX('Piano del test'!$L$5:$L$13,MATCH($A8,'Piano del test'!$A$5:$A$13,0))</f>
        <v>0.92</v>
      </c>
      <c r="P8" s="9">
        <f t="shared" si="1"/>
        <v>1.8389473684210564</v>
      </c>
    </row>
    <row r="9" spans="1:16" x14ac:dyDescent="0.45">
      <c r="A9" s="6" t="s">
        <v>49</v>
      </c>
      <c r="B9" s="7" t="s">
        <v>50</v>
      </c>
      <c r="C9" s="6">
        <f>COUNTIF(Calcolo!$B$2:$B$181,$A9)</f>
        <v>20</v>
      </c>
      <c r="D9" s="6">
        <f>C9-COUNTIFS(Calcolo!$B$2:$B$181,$A9,Calcolo!$I$2:$I$181,"non eseguita")</f>
        <v>20</v>
      </c>
      <c r="E9" s="6">
        <f>COUNTIFS(Calcolo!$B$2:$B$181,$A9,Calcolo!$I$2:$I$181,"riuscita")</f>
        <v>20</v>
      </c>
      <c r="F9" s="8">
        <f t="shared" si="0"/>
        <v>1</v>
      </c>
      <c r="G9" s="6">
        <f>COUNTIFS(Calcolo!$B$2:$B$181,$A9,Calcolo!$I$2:$I$181,"blocco al totem")</f>
        <v>0</v>
      </c>
      <c r="H9" s="6">
        <f>COUNTIFS(Calcolo!$B$2:$B$181,$A9,Calcolo!$I$2:$I$181,"timeout")</f>
        <v>0</v>
      </c>
      <c r="I9" s="6">
        <f>COUNTIFS(Calcolo!$B$2:$B$181,$A9,Calcolo!$I$2:$I$181,"NavMesh non attivato")</f>
        <v>0</v>
      </c>
      <c r="J9" s="6">
        <f>COUNTIFS(Calcolo!$B$2:$B$181,$A9,Calcolo!$I$2:$I$181,"oltre le soglie")</f>
        <v>0</v>
      </c>
      <c r="K9" s="6">
        <f>COUNTIFS(Calcolo!$B$2:$B$181,$A9,Calcolo!$I$2:$I$181,"tempi negativi")</f>
        <v>0</v>
      </c>
      <c r="L9" s="9">
        <f>IF(E9=0,"",AVERAGEIFS(Calcolo!$D$2:$D$181,Calcolo!$B$2:$B$181,$A9,Calcolo!$I$2:$I$181,"riuscita"))</f>
        <v>31.875</v>
      </c>
      <c r="M9" s="9">
        <f>IF(E9&lt;2,"",SQRT(MAX(0,(SUMPRODUCT((Calcolo!$B$2:$B$181=$A9)*Calcolo!$J$2:$J$181^2)-E9*L9^2)/(E9-1))))</f>
        <v>3.3749908381941829</v>
      </c>
      <c r="N9" s="10">
        <f>INDEX('Piano del test'!$K$5:$K$13,MATCH($A9,'Piano del test'!$A$5:$A$13,0))</f>
        <v>29.85</v>
      </c>
      <c r="O9" s="10">
        <f>INDEX('Piano del test'!$L$5:$L$13,MATCH($A9,'Piano del test'!$A$5:$A$13,0))</f>
        <v>0.63</v>
      </c>
      <c r="P9" s="9">
        <f t="shared" si="1"/>
        <v>2.0249999999999986</v>
      </c>
    </row>
    <row r="10" spans="1:16" x14ac:dyDescent="0.45">
      <c r="A10" s="6" t="s">
        <v>51</v>
      </c>
      <c r="B10" s="7" t="s">
        <v>52</v>
      </c>
      <c r="C10" s="6">
        <f>COUNTIF(Calcolo!$B$2:$B$181,$A10)</f>
        <v>20</v>
      </c>
      <c r="D10" s="6">
        <f>C10-COUNTIFS(Calcolo!$B$2:$B$181,$A10,Calcolo!$I$2:$I$181,"non eseguita")</f>
        <v>20</v>
      </c>
      <c r="E10" s="6">
        <f>COUNTIFS(Calcolo!$B$2:$B$181,$A10,Calcolo!$I$2:$I$181,"riuscita")</f>
        <v>16</v>
      </c>
      <c r="F10" s="8">
        <f t="shared" si="0"/>
        <v>0.8</v>
      </c>
      <c r="G10" s="6">
        <f>COUNTIFS(Calcolo!$B$2:$B$181,$A10,Calcolo!$I$2:$I$181,"blocco al totem")</f>
        <v>2</v>
      </c>
      <c r="H10" s="6">
        <f>COUNTIFS(Calcolo!$B$2:$B$181,$A10,Calcolo!$I$2:$I$181,"timeout")</f>
        <v>2</v>
      </c>
      <c r="I10" s="6">
        <f>COUNTIFS(Calcolo!$B$2:$B$181,$A10,Calcolo!$I$2:$I$181,"NavMesh non attivato")</f>
        <v>0</v>
      </c>
      <c r="J10" s="6">
        <f>COUNTIFS(Calcolo!$B$2:$B$181,$A10,Calcolo!$I$2:$I$181,"oltre le soglie")</f>
        <v>0</v>
      </c>
      <c r="K10" s="6">
        <f>COUNTIFS(Calcolo!$B$2:$B$181,$A10,Calcolo!$I$2:$I$181,"tempi negativi")</f>
        <v>0</v>
      </c>
      <c r="L10" s="9">
        <f>IF(E10=0,"",AVERAGEIFS(Calcolo!$D$2:$D$181,Calcolo!$B$2:$B$181,$A10,Calcolo!$I$2:$I$181,"riuscita"))</f>
        <v>30.31625</v>
      </c>
      <c r="M10" s="9">
        <f>IF(E10&lt;2,"",SQRT(MAX(0,(SUMPRODUCT((Calcolo!$B$2:$B$181=$A10)*Calcolo!$J$2:$J$181^2)-E10*L10^2)/(E10-1))))</f>
        <v>4.2190060045781657</v>
      </c>
      <c r="N10" s="10">
        <f>INDEX('Piano del test'!$K$5:$K$13,MATCH($A10,'Piano del test'!$A$5:$A$13,0))</f>
        <v>29.91</v>
      </c>
      <c r="O10" s="10">
        <f>INDEX('Piano del test'!$L$5:$L$13,MATCH($A10,'Piano del test'!$A$5:$A$13,0))</f>
        <v>2.4700000000000002</v>
      </c>
      <c r="P10" s="9">
        <f t="shared" si="1"/>
        <v>0.40625</v>
      </c>
    </row>
    <row r="11" spans="1:16" x14ac:dyDescent="0.45">
      <c r="A11" s="6" t="s">
        <v>53</v>
      </c>
      <c r="B11" s="7" t="s">
        <v>54</v>
      </c>
      <c r="C11" s="6">
        <f>COUNTIF(Calcolo!$B$2:$B$181,$A11)</f>
        <v>20</v>
      </c>
      <c r="D11" s="6">
        <f>C11-COUNTIFS(Calcolo!$B$2:$B$181,$A11,Calcolo!$I$2:$I$181,"non eseguita")</f>
        <v>20</v>
      </c>
      <c r="E11" s="6">
        <f>COUNTIFS(Calcolo!$B$2:$B$181,$A11,Calcolo!$I$2:$I$181,"riuscita")</f>
        <v>20</v>
      </c>
      <c r="F11" s="8">
        <f t="shared" si="0"/>
        <v>1</v>
      </c>
      <c r="G11" s="6">
        <f>COUNTIFS(Calcolo!$B$2:$B$181,$A11,Calcolo!$I$2:$I$181,"blocco al totem")</f>
        <v>0</v>
      </c>
      <c r="H11" s="6">
        <f>COUNTIFS(Calcolo!$B$2:$B$181,$A11,Calcolo!$I$2:$I$181,"timeout")</f>
        <v>0</v>
      </c>
      <c r="I11" s="6">
        <f>COUNTIFS(Calcolo!$B$2:$B$181,$A11,Calcolo!$I$2:$I$181,"NavMesh non attivato")</f>
        <v>0</v>
      </c>
      <c r="J11" s="6">
        <f>COUNTIFS(Calcolo!$B$2:$B$181,$A11,Calcolo!$I$2:$I$181,"oltre le soglie")</f>
        <v>0</v>
      </c>
      <c r="K11" s="6">
        <f>COUNTIFS(Calcolo!$B$2:$B$181,$A11,Calcolo!$I$2:$I$181,"tempi negativi")</f>
        <v>0</v>
      </c>
      <c r="L11" s="9">
        <f>IF(E11=0,"",AVERAGEIFS(Calcolo!$D$2:$D$181,Calcolo!$B$2:$B$181,$A11,Calcolo!$I$2:$I$181,"riuscita"))</f>
        <v>30.714000000000006</v>
      </c>
      <c r="M11" s="9">
        <f>IF(E11&lt;2,"",SQRT(MAX(0,(SUMPRODUCT((Calcolo!$B$2:$B$181=$A11)*Calcolo!$J$2:$J$181^2)-E11*L11^2)/(E11-1))))</f>
        <v>2.4295037396662522</v>
      </c>
      <c r="N11" s="10">
        <f>INDEX('Piano del test'!$K$5:$K$13,MATCH($A11,'Piano del test'!$A$5:$A$13,0))</f>
        <v>29.94</v>
      </c>
      <c r="O11" s="10">
        <f>INDEX('Piano del test'!$L$5:$L$13,MATCH($A11,'Piano del test'!$A$5:$A$13,0))</f>
        <v>0.48</v>
      </c>
      <c r="P11" s="9">
        <f t="shared" si="1"/>
        <v>0.77400000000000446</v>
      </c>
    </row>
    <row r="12" spans="1:16" x14ac:dyDescent="0.45">
      <c r="A12" s="6" t="s">
        <v>55</v>
      </c>
      <c r="B12" s="7" t="s">
        <v>56</v>
      </c>
      <c r="C12" s="6">
        <f>COUNTIF(Calcolo!$B$2:$B$181,$A12)</f>
        <v>20</v>
      </c>
      <c r="D12" s="6">
        <f>C12-COUNTIFS(Calcolo!$B$2:$B$181,$A12,Calcolo!$I$2:$I$181,"non eseguita")</f>
        <v>20</v>
      </c>
      <c r="E12" s="6">
        <f>COUNTIFS(Calcolo!$B$2:$B$181,$A12,Calcolo!$I$2:$I$181,"riuscita")</f>
        <v>13</v>
      </c>
      <c r="F12" s="8">
        <f t="shared" si="0"/>
        <v>0.65</v>
      </c>
      <c r="G12" s="6">
        <f>COUNTIFS(Calcolo!$B$2:$B$181,$A12,Calcolo!$I$2:$I$181,"blocco al totem")</f>
        <v>4</v>
      </c>
      <c r="H12" s="6">
        <f>COUNTIFS(Calcolo!$B$2:$B$181,$A12,Calcolo!$I$2:$I$181,"timeout")</f>
        <v>3</v>
      </c>
      <c r="I12" s="6">
        <f>COUNTIFS(Calcolo!$B$2:$B$181,$A12,Calcolo!$I$2:$I$181,"NavMesh non attivato")</f>
        <v>0</v>
      </c>
      <c r="J12" s="6">
        <f>COUNTIFS(Calcolo!$B$2:$B$181,$A12,Calcolo!$I$2:$I$181,"oltre le soglie")</f>
        <v>0</v>
      </c>
      <c r="K12" s="6">
        <f>COUNTIFS(Calcolo!$B$2:$B$181,$A12,Calcolo!$I$2:$I$181,"tempi negativi")</f>
        <v>0</v>
      </c>
      <c r="L12" s="9">
        <f>IF(E12=0,"",AVERAGEIFS(Calcolo!$D$2:$D$181,Calcolo!$B$2:$B$181,$A12,Calcolo!$I$2:$I$181,"riuscita"))</f>
        <v>29.373846153846156</v>
      </c>
      <c r="M12" s="9">
        <f>IF(E12&lt;2,"",SQRT(MAX(0,(SUMPRODUCT((Calcolo!$B$2:$B$181=$A12)*Calcolo!$J$2:$J$181^2)-E12*L12^2)/(E12-1))))</f>
        <v>3.3899890325819158</v>
      </c>
      <c r="N12" s="10">
        <f>INDEX('Piano del test'!$K$5:$K$13,MATCH($A12,'Piano del test'!$A$5:$A$13,0))</f>
        <v>30.01</v>
      </c>
      <c r="O12" s="10">
        <f>INDEX('Piano del test'!$L$5:$L$13,MATCH($A12,'Piano del test'!$A$5:$A$13,0))</f>
        <v>3.51</v>
      </c>
      <c r="P12" s="9">
        <f t="shared" si="1"/>
        <v>-0.63615384615384585</v>
      </c>
    </row>
    <row r="13" spans="1:16" x14ac:dyDescent="0.45">
      <c r="A13" s="6" t="s">
        <v>57</v>
      </c>
      <c r="B13" s="7" t="s">
        <v>58</v>
      </c>
      <c r="C13" s="6">
        <f>COUNTIF(Calcolo!$B$2:$B$181,$A13)</f>
        <v>20</v>
      </c>
      <c r="D13" s="6">
        <f>C13-COUNTIFS(Calcolo!$B$2:$B$181,$A13,Calcolo!$I$2:$I$181,"non eseguita")</f>
        <v>20</v>
      </c>
      <c r="E13" s="6">
        <f>COUNTIFS(Calcolo!$B$2:$B$181,$A13,Calcolo!$I$2:$I$181,"riuscita")</f>
        <v>20</v>
      </c>
      <c r="F13" s="8">
        <f t="shared" si="0"/>
        <v>1</v>
      </c>
      <c r="G13" s="6">
        <f>COUNTIFS(Calcolo!$B$2:$B$181,$A13,Calcolo!$I$2:$I$181,"blocco al totem")</f>
        <v>0</v>
      </c>
      <c r="H13" s="6">
        <f>COUNTIFS(Calcolo!$B$2:$B$181,$A13,Calcolo!$I$2:$I$181,"timeout")</f>
        <v>0</v>
      </c>
      <c r="I13" s="6">
        <f>COUNTIFS(Calcolo!$B$2:$B$181,$A13,Calcolo!$I$2:$I$181,"NavMesh non attivato")</f>
        <v>0</v>
      </c>
      <c r="J13" s="6">
        <f>COUNTIFS(Calcolo!$B$2:$B$181,$A13,Calcolo!$I$2:$I$181,"oltre le soglie")</f>
        <v>0</v>
      </c>
      <c r="K13" s="6">
        <f>COUNTIFS(Calcolo!$B$2:$B$181,$A13,Calcolo!$I$2:$I$181,"tempi negativi")</f>
        <v>0</v>
      </c>
      <c r="L13" s="9">
        <f>IF(E13=0,"",AVERAGEIFS(Calcolo!$D$2:$D$181,Calcolo!$B$2:$B$181,$A13,Calcolo!$I$2:$I$181,"riuscita"))</f>
        <v>32.164999999999999</v>
      </c>
      <c r="M13" s="9">
        <f>IF(E13&lt;2,"",SQRT(MAX(0,(SUMPRODUCT((Calcolo!$B$2:$B$181=$A13)*Calcolo!$J$2:$J$181^2)-E13*L13^2)/(E13-1))))</f>
        <v>3.3103148204553472</v>
      </c>
      <c r="N13" s="10">
        <f>INDEX('Piano del test'!$K$5:$K$13,MATCH($A13,'Piano del test'!$A$5:$A$13,0))</f>
        <v>27.93</v>
      </c>
      <c r="O13" s="10">
        <f>INDEX('Piano del test'!$L$5:$L$13,MATCH($A13,'Piano del test'!$A$5:$A$13,0))</f>
        <v>0.28000000000000003</v>
      </c>
      <c r="P13" s="9">
        <f t="shared" si="1"/>
        <v>4.2349999999999994</v>
      </c>
    </row>
    <row r="14" spans="1:16" x14ac:dyDescent="0.45">
      <c r="A14" s="11" t="s">
        <v>59</v>
      </c>
      <c r="B14" s="12"/>
      <c r="C14" s="13">
        <f>SUM(C5:C13)</f>
        <v>180</v>
      </c>
      <c r="D14" s="13">
        <f>SUM(D5:D13)</f>
        <v>180</v>
      </c>
      <c r="E14" s="13">
        <f>SUM(E5:E13)</f>
        <v>156</v>
      </c>
      <c r="F14" s="14">
        <f t="shared" si="0"/>
        <v>0.8666666666666667</v>
      </c>
      <c r="G14" s="13">
        <f>SUM(G5:G13)</f>
        <v>13</v>
      </c>
      <c r="H14" s="13">
        <f>SUM(H5:H13)</f>
        <v>10</v>
      </c>
      <c r="I14" s="13">
        <f>SUM(I5:I13)</f>
        <v>0</v>
      </c>
      <c r="J14" s="13">
        <f>SUM(J5:J13)</f>
        <v>0</v>
      </c>
      <c r="K14" s="13">
        <f>SUM(K5:K13)</f>
        <v>1</v>
      </c>
      <c r="L14" s="12"/>
      <c r="M14" s="12"/>
      <c r="N14" s="12"/>
      <c r="O14" s="12"/>
      <c r="P14" s="12"/>
    </row>
    <row r="16" spans="1:16" x14ac:dyDescent="0.45">
      <c r="A16" s="15" t="s">
        <v>60</v>
      </c>
    </row>
    <row r="17" spans="1:1" x14ac:dyDescent="0.45">
      <c r="A17" s="2" t="s">
        <v>61</v>
      </c>
    </row>
    <row r="18" spans="1:1" x14ac:dyDescent="0.45">
      <c r="A18" s="2" t="s">
        <v>62</v>
      </c>
    </row>
    <row r="19" spans="1:1" x14ac:dyDescent="0.45">
      <c r="A19" s="2" t="s">
        <v>63</v>
      </c>
    </row>
    <row r="20" spans="1:1" x14ac:dyDescent="0.45">
      <c r="A20" s="2" t="s">
        <v>64</v>
      </c>
    </row>
    <row r="21" spans="1:1" x14ac:dyDescent="0.45">
      <c r="A21" s="2" t="s">
        <v>65</v>
      </c>
    </row>
    <row r="22" spans="1:1" x14ac:dyDescent="0.45">
      <c r="A22" s="2" t="s">
        <v>66</v>
      </c>
    </row>
    <row r="23" spans="1:1" x14ac:dyDescent="0.45">
      <c r="A23" s="2" t="s">
        <v>67</v>
      </c>
    </row>
    <row r="24" spans="1:1" x14ac:dyDescent="0.45">
      <c r="A24" s="4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7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6" customWidth="1"/>
    <col min="2" max="2" width="30" customWidth="1"/>
    <col min="3" max="4" width="14" customWidth="1"/>
    <col min="5" max="5" width="7" customWidth="1"/>
    <col min="6" max="6" width="8" customWidth="1"/>
    <col min="7" max="7" width="9" customWidth="1"/>
    <col min="8" max="8" width="11" customWidth="1"/>
    <col min="9" max="9" width="12" customWidth="1"/>
    <col min="10" max="10" width="16" customWidth="1"/>
    <col min="11" max="11" width="14" customWidth="1"/>
    <col min="12" max="12" width="11" customWidth="1"/>
    <col min="13" max="13" width="17" customWidth="1"/>
    <col min="14" max="14" width="13" customWidth="1"/>
    <col min="15" max="17" width="12" customWidth="1"/>
    <col min="18" max="18" width="20" customWidth="1"/>
  </cols>
  <sheetData>
    <row r="1" spans="1:18" ht="16.899999999999999" customHeight="1" x14ac:dyDescent="0.5">
      <c r="A1" s="3" t="s">
        <v>69</v>
      </c>
    </row>
    <row r="2" spans="1:18" ht="30" customHeight="1" x14ac:dyDescent="0.45">
      <c r="A2" s="30" t="s">
        <v>70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spans="1:18" ht="42" customHeight="1" x14ac:dyDescent="0.45">
      <c r="A4" s="5" t="s">
        <v>26</v>
      </c>
      <c r="B4" s="5" t="s">
        <v>71</v>
      </c>
      <c r="C4" s="5" t="s">
        <v>1</v>
      </c>
      <c r="D4" s="5" t="s">
        <v>2</v>
      </c>
      <c r="E4" s="5" t="s">
        <v>72</v>
      </c>
      <c r="F4" s="5" t="s">
        <v>73</v>
      </c>
      <c r="G4" s="5" t="s">
        <v>74</v>
      </c>
      <c r="H4" s="5" t="s">
        <v>75</v>
      </c>
      <c r="I4" s="5" t="s">
        <v>76</v>
      </c>
      <c r="J4" s="5" t="s">
        <v>77</v>
      </c>
      <c r="K4" s="5" t="s">
        <v>38</v>
      </c>
      <c r="L4" s="5" t="s">
        <v>39</v>
      </c>
      <c r="M4" s="5" t="s">
        <v>78</v>
      </c>
      <c r="N4" s="5" t="s">
        <v>79</v>
      </c>
      <c r="O4" s="5" t="s">
        <v>80</v>
      </c>
      <c r="P4" s="5" t="s">
        <v>81</v>
      </c>
      <c r="Q4" s="5" t="s">
        <v>82</v>
      </c>
      <c r="R4" s="5" t="s">
        <v>83</v>
      </c>
    </row>
    <row r="5" spans="1:18" x14ac:dyDescent="0.45">
      <c r="A5" s="6" t="s">
        <v>41</v>
      </c>
      <c r="B5" s="16" t="s">
        <v>84</v>
      </c>
      <c r="C5" s="17">
        <v>150</v>
      </c>
      <c r="D5" s="18">
        <v>0.65</v>
      </c>
      <c r="E5" s="17">
        <v>5</v>
      </c>
      <c r="F5" s="18">
        <v>1.25</v>
      </c>
      <c r="G5" s="19">
        <f t="shared" ref="G5:G13" si="0">F5/E5</f>
        <v>0.25</v>
      </c>
      <c r="H5" s="6" t="s">
        <v>23</v>
      </c>
      <c r="I5" s="6">
        <v>1</v>
      </c>
      <c r="J5" s="6" t="s">
        <v>85</v>
      </c>
      <c r="K5" s="18">
        <v>28.67</v>
      </c>
      <c r="L5" s="18">
        <v>0.59</v>
      </c>
      <c r="M5" s="18">
        <v>1.08</v>
      </c>
      <c r="N5" s="9">
        <f t="shared" ref="N5:N13" si="1">M5+$C$22</f>
        <v>11.08</v>
      </c>
      <c r="O5" s="6">
        <f>_xlfn.MINIFS('Test Completo'!$A$2:$A$181,'Test Completo'!$B$2:$B$181,C5,'Test Completo'!$C$2:$C$181,D5,'Test Completo'!$D$2:$D$181,E5,'Test Completo'!$E$2:$E$181,F5)</f>
        <v>1297</v>
      </c>
      <c r="P5" s="6">
        <f>_xlfn.MAXIFS('Test Completo'!$A$2:$A$181,'Test Completo'!$B$2:$B$181,C5,'Test Completo'!$C$2:$C$181,D5,'Test Completo'!$D$2:$D$181,E5,'Test Completo'!$E$2:$E$181,F5)</f>
        <v>1468</v>
      </c>
      <c r="Q5" s="6">
        <f>COUNTIFS('Test Completo'!$B$2:$B$181,C5,'Test Completo'!$C$2:$C$181,D5,'Test Completo'!$D$2:$D$181,E5,'Test Completo'!$E$2:$E$181,F5)</f>
        <v>20</v>
      </c>
      <c r="R5" s="6" t="str">
        <f t="shared" ref="R5:R13" si="2">C5&amp;"|"&amp;D5&amp;"|"&amp;E5&amp;"|"&amp;F5</f>
        <v>150|0,65|5|1,25</v>
      </c>
    </row>
    <row r="6" spans="1:18" x14ac:dyDescent="0.45">
      <c r="A6" s="6" t="s">
        <v>43</v>
      </c>
      <c r="B6" s="16" t="s">
        <v>86</v>
      </c>
      <c r="C6" s="17">
        <v>150</v>
      </c>
      <c r="D6" s="18">
        <v>0.8</v>
      </c>
      <c r="E6" s="17">
        <v>5</v>
      </c>
      <c r="F6" s="18">
        <v>1.25</v>
      </c>
      <c r="G6" s="19">
        <f t="shared" si="0"/>
        <v>0.25</v>
      </c>
      <c r="H6" s="6" t="s">
        <v>23</v>
      </c>
      <c r="I6" s="6">
        <v>2</v>
      </c>
      <c r="J6" s="6" t="s">
        <v>87</v>
      </c>
      <c r="K6" s="18">
        <v>29.2</v>
      </c>
      <c r="L6" s="18">
        <v>2.29</v>
      </c>
      <c r="M6" s="18">
        <v>1.08</v>
      </c>
      <c r="N6" s="9">
        <f t="shared" si="1"/>
        <v>11.08</v>
      </c>
      <c r="O6" s="6">
        <f>_xlfn.MINIFS('Test Completo'!$A$2:$A$181,'Test Completo'!$B$2:$B$181,C6,'Test Completo'!$C$2:$C$181,D6,'Test Completo'!$D$2:$D$181,E6,'Test Completo'!$E$2:$E$181,F6)</f>
        <v>1298</v>
      </c>
      <c r="P6" s="6">
        <f>_xlfn.MAXIFS('Test Completo'!$A$2:$A$181,'Test Completo'!$B$2:$B$181,C6,'Test Completo'!$C$2:$C$181,D6,'Test Completo'!$D$2:$D$181,E6,'Test Completo'!$E$2:$E$181,F6)</f>
        <v>1469</v>
      </c>
      <c r="Q6" s="6">
        <f>COUNTIFS('Test Completo'!$B$2:$B$181,C6,'Test Completo'!$C$2:$C$181,D6,'Test Completo'!$D$2:$D$181,E6,'Test Completo'!$E$2:$E$181,F6)</f>
        <v>20</v>
      </c>
      <c r="R6" s="6" t="str">
        <f t="shared" si="2"/>
        <v>150|0,8|5|1,25</v>
      </c>
    </row>
    <row r="7" spans="1:18" x14ac:dyDescent="0.45">
      <c r="A7" s="6" t="s">
        <v>45</v>
      </c>
      <c r="B7" s="16" t="s">
        <v>88</v>
      </c>
      <c r="C7" s="17">
        <v>90</v>
      </c>
      <c r="D7" s="18">
        <v>0.65</v>
      </c>
      <c r="E7" s="17">
        <v>5</v>
      </c>
      <c r="F7" s="18">
        <v>3.75</v>
      </c>
      <c r="G7" s="19">
        <f t="shared" si="0"/>
        <v>0.75</v>
      </c>
      <c r="H7" s="6" t="s">
        <v>23</v>
      </c>
      <c r="I7" s="6">
        <v>3</v>
      </c>
      <c r="J7" s="6" t="s">
        <v>89</v>
      </c>
      <c r="K7" s="18">
        <v>29.45</v>
      </c>
      <c r="L7" s="18">
        <v>0.37</v>
      </c>
      <c r="M7" s="18">
        <v>4.78</v>
      </c>
      <c r="N7" s="9">
        <f t="shared" si="1"/>
        <v>14.780000000000001</v>
      </c>
      <c r="O7" s="6">
        <f>_xlfn.MINIFS('Test Completo'!$A$2:$A$181,'Test Completo'!$B$2:$B$181,C7,'Test Completo'!$C$2:$C$181,D7,'Test Completo'!$D$2:$D$181,E7,'Test Completo'!$E$2:$E$181,F7)</f>
        <v>1299</v>
      </c>
      <c r="P7" s="6">
        <f>_xlfn.MAXIFS('Test Completo'!$A$2:$A$181,'Test Completo'!$B$2:$B$181,C7,'Test Completo'!$C$2:$C$181,D7,'Test Completo'!$D$2:$D$181,E7,'Test Completo'!$E$2:$E$181,F7)</f>
        <v>1470</v>
      </c>
      <c r="Q7" s="6">
        <f>COUNTIFS('Test Completo'!$B$2:$B$181,C7,'Test Completo'!$C$2:$C$181,D7,'Test Completo'!$D$2:$D$181,E7,'Test Completo'!$E$2:$E$181,F7)</f>
        <v>20</v>
      </c>
      <c r="R7" s="6" t="str">
        <f t="shared" si="2"/>
        <v>90|0,65|5|3,75</v>
      </c>
    </row>
    <row r="8" spans="1:18" x14ac:dyDescent="0.45">
      <c r="A8" s="6" t="s">
        <v>47</v>
      </c>
      <c r="B8" s="16" t="s">
        <v>90</v>
      </c>
      <c r="C8" s="17">
        <v>120</v>
      </c>
      <c r="D8" s="18">
        <v>0.8</v>
      </c>
      <c r="E8" s="17">
        <v>5</v>
      </c>
      <c r="F8" s="18">
        <v>3.75</v>
      </c>
      <c r="G8" s="19">
        <f t="shared" si="0"/>
        <v>0.75</v>
      </c>
      <c r="H8" s="6" t="s">
        <v>23</v>
      </c>
      <c r="I8" s="6">
        <v>4</v>
      </c>
      <c r="J8" s="6" t="s">
        <v>91</v>
      </c>
      <c r="K8" s="18">
        <v>29.78</v>
      </c>
      <c r="L8" s="18">
        <v>0.92</v>
      </c>
      <c r="M8" s="18">
        <v>4.78</v>
      </c>
      <c r="N8" s="9">
        <f t="shared" si="1"/>
        <v>14.780000000000001</v>
      </c>
      <c r="O8" s="6">
        <f>_xlfn.MINIFS('Test Completo'!$A$2:$A$181,'Test Completo'!$B$2:$B$181,C8,'Test Completo'!$C$2:$C$181,D8,'Test Completo'!$D$2:$D$181,E8,'Test Completo'!$E$2:$E$181,F8)</f>
        <v>1300</v>
      </c>
      <c r="P8" s="6">
        <f>_xlfn.MAXIFS('Test Completo'!$A$2:$A$181,'Test Completo'!$B$2:$B$181,C8,'Test Completo'!$C$2:$C$181,D8,'Test Completo'!$D$2:$D$181,E8,'Test Completo'!$E$2:$E$181,F8)</f>
        <v>1471</v>
      </c>
      <c r="Q8" s="6">
        <f>COUNTIFS('Test Completo'!$B$2:$B$181,C8,'Test Completo'!$C$2:$C$181,D8,'Test Completo'!$D$2:$D$181,E8,'Test Completo'!$E$2:$E$181,F8)</f>
        <v>20</v>
      </c>
      <c r="R8" s="6" t="str">
        <f t="shared" si="2"/>
        <v>120|0,8|5|3,75</v>
      </c>
    </row>
    <row r="9" spans="1:18" x14ac:dyDescent="0.45">
      <c r="A9" s="6" t="s">
        <v>49</v>
      </c>
      <c r="B9" s="16" t="s">
        <v>92</v>
      </c>
      <c r="C9" s="17">
        <v>150</v>
      </c>
      <c r="D9" s="18">
        <v>0.5</v>
      </c>
      <c r="E9" s="17">
        <v>5</v>
      </c>
      <c r="F9" s="18">
        <v>3.75</v>
      </c>
      <c r="G9" s="19">
        <f t="shared" si="0"/>
        <v>0.75</v>
      </c>
      <c r="H9" s="6" t="s">
        <v>23</v>
      </c>
      <c r="I9" s="6">
        <v>5</v>
      </c>
      <c r="J9" s="6" t="s">
        <v>93</v>
      </c>
      <c r="K9" s="18">
        <v>29.85</v>
      </c>
      <c r="L9" s="18">
        <v>0.63</v>
      </c>
      <c r="M9" s="18">
        <v>4.78</v>
      </c>
      <c r="N9" s="9">
        <f t="shared" si="1"/>
        <v>14.780000000000001</v>
      </c>
      <c r="O9" s="6">
        <f>_xlfn.MINIFS('Test Completo'!$A$2:$A$181,'Test Completo'!$B$2:$B$181,C9,'Test Completo'!$C$2:$C$181,D9,'Test Completo'!$D$2:$D$181,E9,'Test Completo'!$E$2:$E$181,F9)</f>
        <v>1301</v>
      </c>
      <c r="P9" s="6">
        <f>_xlfn.MAXIFS('Test Completo'!$A$2:$A$181,'Test Completo'!$B$2:$B$181,C9,'Test Completo'!$C$2:$C$181,D9,'Test Completo'!$D$2:$D$181,E9,'Test Completo'!$E$2:$E$181,F9)</f>
        <v>1472</v>
      </c>
      <c r="Q9" s="6">
        <f>COUNTIFS('Test Completo'!$B$2:$B$181,C9,'Test Completo'!$C$2:$C$181,D9,'Test Completo'!$D$2:$D$181,E9,'Test Completo'!$E$2:$E$181,F9)</f>
        <v>20</v>
      </c>
      <c r="R9" s="6" t="str">
        <f t="shared" si="2"/>
        <v>150|0,5|5|3,75</v>
      </c>
    </row>
    <row r="10" spans="1:18" x14ac:dyDescent="0.45">
      <c r="A10" s="6" t="s">
        <v>51</v>
      </c>
      <c r="B10" s="16" t="s">
        <v>94</v>
      </c>
      <c r="C10" s="17">
        <v>90</v>
      </c>
      <c r="D10" s="18">
        <v>0.95</v>
      </c>
      <c r="E10" s="17">
        <v>5</v>
      </c>
      <c r="F10" s="18">
        <v>1.25</v>
      </c>
      <c r="G10" s="19">
        <f t="shared" si="0"/>
        <v>0.25</v>
      </c>
      <c r="H10" s="6" t="s">
        <v>23</v>
      </c>
      <c r="I10" s="6">
        <v>6</v>
      </c>
      <c r="J10" s="6" t="s">
        <v>95</v>
      </c>
      <c r="K10" s="18">
        <v>29.91</v>
      </c>
      <c r="L10" s="18">
        <v>2.4700000000000002</v>
      </c>
      <c r="M10" s="18">
        <v>1.08</v>
      </c>
      <c r="N10" s="9">
        <f t="shared" si="1"/>
        <v>11.08</v>
      </c>
      <c r="O10" s="6">
        <f>_xlfn.MINIFS('Test Completo'!$A$2:$A$181,'Test Completo'!$B$2:$B$181,C10,'Test Completo'!$C$2:$C$181,D10,'Test Completo'!$D$2:$D$181,E10,'Test Completo'!$E$2:$E$181,F10)</f>
        <v>1302</v>
      </c>
      <c r="P10" s="6">
        <f>_xlfn.MAXIFS('Test Completo'!$A$2:$A$181,'Test Completo'!$B$2:$B$181,C10,'Test Completo'!$C$2:$C$181,D10,'Test Completo'!$D$2:$D$181,E10,'Test Completo'!$E$2:$E$181,F10)</f>
        <v>1473</v>
      </c>
      <c r="Q10" s="6">
        <f>COUNTIFS('Test Completo'!$B$2:$B$181,C10,'Test Completo'!$C$2:$C$181,D10,'Test Completo'!$D$2:$D$181,E10,'Test Completo'!$E$2:$E$181,F10)</f>
        <v>20</v>
      </c>
      <c r="R10" s="6" t="str">
        <f t="shared" si="2"/>
        <v>90|0,95|5|1,25</v>
      </c>
    </row>
    <row r="11" spans="1:18" x14ac:dyDescent="0.45">
      <c r="A11" s="6" t="s">
        <v>53</v>
      </c>
      <c r="B11" s="16" t="s">
        <v>96</v>
      </c>
      <c r="C11" s="17">
        <v>30</v>
      </c>
      <c r="D11" s="18">
        <v>0.5</v>
      </c>
      <c r="E11" s="17">
        <v>5</v>
      </c>
      <c r="F11" s="18">
        <v>3.75</v>
      </c>
      <c r="G11" s="19">
        <f t="shared" si="0"/>
        <v>0.75</v>
      </c>
      <c r="H11" s="6" t="s">
        <v>23</v>
      </c>
      <c r="I11" s="6">
        <v>7</v>
      </c>
      <c r="J11" s="6" t="s">
        <v>97</v>
      </c>
      <c r="K11" s="18">
        <v>29.94</v>
      </c>
      <c r="L11" s="18">
        <v>0.48</v>
      </c>
      <c r="M11" s="18">
        <v>4.78</v>
      </c>
      <c r="N11" s="9">
        <f t="shared" si="1"/>
        <v>14.780000000000001</v>
      </c>
      <c r="O11" s="6">
        <f>_xlfn.MINIFS('Test Completo'!$A$2:$A$181,'Test Completo'!$B$2:$B$181,C11,'Test Completo'!$C$2:$C$181,D11,'Test Completo'!$D$2:$D$181,E11,'Test Completo'!$E$2:$E$181,F11)</f>
        <v>1303</v>
      </c>
      <c r="P11" s="6">
        <f>_xlfn.MAXIFS('Test Completo'!$A$2:$A$181,'Test Completo'!$B$2:$B$181,C11,'Test Completo'!$C$2:$C$181,D11,'Test Completo'!$D$2:$D$181,E11,'Test Completo'!$E$2:$E$181,F11)</f>
        <v>1474</v>
      </c>
      <c r="Q11" s="6">
        <f>COUNTIFS('Test Completo'!$B$2:$B$181,C11,'Test Completo'!$C$2:$C$181,D11,'Test Completo'!$D$2:$D$181,E11,'Test Completo'!$E$2:$E$181,F11)</f>
        <v>20</v>
      </c>
      <c r="R11" s="6" t="str">
        <f t="shared" si="2"/>
        <v>30|0,5|5|3,75</v>
      </c>
    </row>
    <row r="12" spans="1:18" x14ac:dyDescent="0.45">
      <c r="A12" s="6" t="s">
        <v>55</v>
      </c>
      <c r="B12" s="16" t="s">
        <v>98</v>
      </c>
      <c r="C12" s="17">
        <v>90</v>
      </c>
      <c r="D12" s="18">
        <v>0.8</v>
      </c>
      <c r="E12" s="17">
        <v>5</v>
      </c>
      <c r="F12" s="18">
        <v>1.25</v>
      </c>
      <c r="G12" s="19">
        <f t="shared" si="0"/>
        <v>0.25</v>
      </c>
      <c r="H12" s="6" t="s">
        <v>23</v>
      </c>
      <c r="I12" s="6">
        <v>8</v>
      </c>
      <c r="J12" s="6" t="s">
        <v>99</v>
      </c>
      <c r="K12" s="18">
        <v>30.01</v>
      </c>
      <c r="L12" s="18">
        <v>3.51</v>
      </c>
      <c r="M12" s="18">
        <v>1.08</v>
      </c>
      <c r="N12" s="9">
        <f t="shared" si="1"/>
        <v>11.08</v>
      </c>
      <c r="O12" s="6">
        <f>_xlfn.MINIFS('Test Completo'!$A$2:$A$181,'Test Completo'!$B$2:$B$181,C12,'Test Completo'!$C$2:$C$181,D12,'Test Completo'!$D$2:$D$181,E12,'Test Completo'!$E$2:$E$181,F12)</f>
        <v>1304</v>
      </c>
      <c r="P12" s="6">
        <f>_xlfn.MAXIFS('Test Completo'!$A$2:$A$181,'Test Completo'!$B$2:$B$181,C12,'Test Completo'!$C$2:$C$181,D12,'Test Completo'!$D$2:$D$181,E12,'Test Completo'!$E$2:$E$181,F12)</f>
        <v>1475</v>
      </c>
      <c r="Q12" s="6">
        <f>COUNTIFS('Test Completo'!$B$2:$B$181,C12,'Test Completo'!$C$2:$C$181,D12,'Test Completo'!$D$2:$D$181,E12,'Test Completo'!$E$2:$E$181,F12)</f>
        <v>20</v>
      </c>
      <c r="R12" s="6" t="str">
        <f t="shared" si="2"/>
        <v>90|0,8|5|1,25</v>
      </c>
    </row>
    <row r="13" spans="1:18" x14ac:dyDescent="0.45">
      <c r="A13" s="6" t="s">
        <v>57</v>
      </c>
      <c r="B13" s="16" t="s">
        <v>100</v>
      </c>
      <c r="C13" s="17">
        <v>90</v>
      </c>
      <c r="D13" s="18">
        <v>0.5</v>
      </c>
      <c r="E13" s="17">
        <v>4</v>
      </c>
      <c r="F13" s="18">
        <v>2</v>
      </c>
      <c r="G13" s="19">
        <f t="shared" si="0"/>
        <v>0.5</v>
      </c>
      <c r="H13" s="6" t="s">
        <v>23</v>
      </c>
      <c r="I13" s="6" t="s">
        <v>101</v>
      </c>
      <c r="J13" s="6" t="s">
        <v>102</v>
      </c>
      <c r="K13" s="18">
        <v>27.93</v>
      </c>
      <c r="L13" s="18">
        <v>0.28000000000000003</v>
      </c>
      <c r="M13" s="18">
        <v>2.1800000000000002</v>
      </c>
      <c r="N13" s="9">
        <f t="shared" si="1"/>
        <v>12.18</v>
      </c>
      <c r="O13" s="6">
        <f>_xlfn.MINIFS('Test Completo'!$A$2:$A$181,'Test Completo'!$B$2:$B$181,C13,'Test Completo'!$C$2:$C$181,D13,'Test Completo'!$D$2:$D$181,E13,'Test Completo'!$E$2:$E$181,F13)</f>
        <v>1305</v>
      </c>
      <c r="P13" s="6">
        <f>_xlfn.MAXIFS('Test Completo'!$A$2:$A$181,'Test Completo'!$B$2:$B$181,C13,'Test Completo'!$C$2:$C$181,D13,'Test Completo'!$D$2:$D$181,E13,'Test Completo'!$E$2:$E$181,F13)</f>
        <v>1476</v>
      </c>
      <c r="Q13" s="6">
        <f>COUNTIFS('Test Completo'!$B$2:$B$181,C13,'Test Completo'!$C$2:$C$181,D13,'Test Completo'!$D$2:$D$181,E13,'Test Completo'!$E$2:$E$181,F13)</f>
        <v>20</v>
      </c>
      <c r="R13" s="6" t="str">
        <f t="shared" si="2"/>
        <v>90|0,5|4|2</v>
      </c>
    </row>
    <row r="14" spans="1:18" ht="25.5" customHeight="1" x14ac:dyDescent="0.45">
      <c r="A14" s="28" t="s">
        <v>103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</row>
    <row r="17" spans="1:4" x14ac:dyDescent="0.45">
      <c r="A17" s="15" t="s">
        <v>104</v>
      </c>
    </row>
    <row r="18" spans="1:4" x14ac:dyDescent="0.45">
      <c r="B18" s="4" t="s">
        <v>105</v>
      </c>
    </row>
    <row r="19" spans="1:4" x14ac:dyDescent="0.45">
      <c r="B19" s="2" t="s">
        <v>106</v>
      </c>
      <c r="C19" s="20">
        <v>49.575000000000003</v>
      </c>
      <c r="D19" s="21" t="s">
        <v>107</v>
      </c>
    </row>
    <row r="20" spans="1:4" x14ac:dyDescent="0.45">
      <c r="B20" s="2" t="s">
        <v>108</v>
      </c>
      <c r="C20" s="22">
        <v>6.23</v>
      </c>
      <c r="D20" s="21" t="s">
        <v>109</v>
      </c>
    </row>
    <row r="21" spans="1:4" x14ac:dyDescent="0.45">
      <c r="B21" s="4" t="s">
        <v>110</v>
      </c>
    </row>
    <row r="22" spans="1:4" x14ac:dyDescent="0.45">
      <c r="B22" s="2" t="s">
        <v>111</v>
      </c>
      <c r="C22" s="22">
        <v>10</v>
      </c>
      <c r="D22" s="21" t="s">
        <v>112</v>
      </c>
    </row>
    <row r="25" spans="1:4" x14ac:dyDescent="0.45">
      <c r="A25" s="23" t="s">
        <v>113</v>
      </c>
    </row>
    <row r="26" spans="1:4" x14ac:dyDescent="0.45">
      <c r="A26" s="2" t="s">
        <v>114</v>
      </c>
    </row>
    <row r="27" spans="1:4" x14ac:dyDescent="0.45">
      <c r="A27" s="2" t="s">
        <v>115</v>
      </c>
    </row>
    <row r="28" spans="1:4" x14ac:dyDescent="0.45">
      <c r="A28" s="24" t="s">
        <v>116</v>
      </c>
    </row>
    <row r="29" spans="1:4" x14ac:dyDescent="0.45">
      <c r="A29" s="24" t="s">
        <v>117</v>
      </c>
    </row>
    <row r="30" spans="1:4" x14ac:dyDescent="0.45">
      <c r="A30" s="2" t="s">
        <v>118</v>
      </c>
    </row>
    <row r="31" spans="1:4" x14ac:dyDescent="0.45">
      <c r="A31" s="2" t="s">
        <v>119</v>
      </c>
    </row>
    <row r="32" spans="1:4" x14ac:dyDescent="0.45">
      <c r="A32" s="24" t="s">
        <v>120</v>
      </c>
    </row>
    <row r="33" spans="1:1" x14ac:dyDescent="0.45">
      <c r="A33" s="24" t="s">
        <v>121</v>
      </c>
    </row>
    <row r="34" spans="1:1" x14ac:dyDescent="0.45">
      <c r="A34" s="2" t="s">
        <v>122</v>
      </c>
    </row>
    <row r="35" spans="1:1" x14ac:dyDescent="0.45">
      <c r="A35" s="2" t="s">
        <v>123</v>
      </c>
    </row>
    <row r="36" spans="1:1" x14ac:dyDescent="0.45">
      <c r="A36" s="2" t="s">
        <v>124</v>
      </c>
    </row>
    <row r="37" spans="1:1" x14ac:dyDescent="0.45">
      <c r="A37" s="4" t="s">
        <v>125</v>
      </c>
    </row>
  </sheetData>
  <mergeCells count="2">
    <mergeCell ref="A14:Q14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2" customWidth="1"/>
    <col min="2" max="2" width="6" customWidth="1"/>
    <col min="3" max="4" width="10" customWidth="1"/>
    <col min="5" max="7" width="9" customWidth="1"/>
    <col min="8" max="8" width="13" customWidth="1"/>
    <col min="9" max="9" width="20" customWidth="1"/>
    <col min="10" max="10" width="14" customWidth="1"/>
  </cols>
  <sheetData>
    <row r="1" spans="1:10" ht="30" customHeight="1" x14ac:dyDescent="0.45">
      <c r="A1" s="5" t="s">
        <v>126</v>
      </c>
      <c r="B1" s="5" t="s">
        <v>26</v>
      </c>
      <c r="C1" s="5" t="s">
        <v>6</v>
      </c>
      <c r="D1" s="5" t="s">
        <v>127</v>
      </c>
      <c r="E1" s="5" t="s">
        <v>128</v>
      </c>
      <c r="F1" s="5" t="s">
        <v>129</v>
      </c>
      <c r="G1" s="5" t="s">
        <v>130</v>
      </c>
      <c r="H1" s="5" t="s">
        <v>131</v>
      </c>
      <c r="I1" s="5" t="s">
        <v>132</v>
      </c>
      <c r="J1" s="5" t="s">
        <v>133</v>
      </c>
    </row>
    <row r="2" spans="1:10" x14ac:dyDescent="0.45">
      <c r="A2" s="25">
        <f>'Test Completo'!A2</f>
        <v>1297</v>
      </c>
      <c r="B2" s="2" t="str">
        <f>IFERROR(INDEX('Piano del test'!$A$5:$A$13,MATCH('Test Completo'!B2&amp;"|"&amp;'Test Completo'!C2&amp;"|"&amp;'Test Completo'!D2&amp;"|"&amp;'Test Completo'!E2,'Piano del test'!$R$5:$R$13,0)),"?")</f>
        <v>T1</v>
      </c>
      <c r="C2" s="25">
        <f>'Test Completo'!G2</f>
        <v>4</v>
      </c>
      <c r="D2" s="26">
        <f>IF('Test Completo'!M2="","",'Test Completo'!M2)</f>
        <v>53.06</v>
      </c>
      <c r="E2" s="25">
        <f>IF('Test Completo'!I2="","",'Test Completo'!I2)</f>
        <v>1</v>
      </c>
      <c r="F2" s="26">
        <f>IF('Test Completo'!H2="","",'Test Completo'!H2)</f>
        <v>3.2</v>
      </c>
      <c r="G2" s="26">
        <f>IF('Test Completo'!L2="","",'Test Completo'!L2)</f>
        <v>29.88</v>
      </c>
      <c r="H2" s="26">
        <f>IF('Test Completo'!T2="","",'Test Completo'!T2)</f>
        <v>27.66</v>
      </c>
      <c r="I2" s="2" t="str">
        <f>IF('Test Completo'!M2="","non eseguita",IF(N('Test Completo'!M2)=0,"timeout",IF(OR(N('Test Completo'!H2)&lt;0,N('Test Completo'!L2)&lt;0),"tempi negativi",IF(N('Test Completo'!I2)&lt;1,"NavMesh non attivato",IF(N('Test Completo'!T2)&gt;INDEX('Piano del test'!$N$5:$N$13,MATCH(B2,'Piano del test'!$A$5:$A$13,0)),"blocco al totem",IF(OR(N('Test Completo'!M2)&gt;'Piano del test'!$C$19,N('Test Completo'!H2)&gt;'Piano del test'!$C$20),"oltre le soglie","riuscita"))))))</f>
        <v>blocco al totem</v>
      </c>
      <c r="J2" s="27">
        <f t="shared" ref="J2:J33" si="0">IF(I2="riuscita",D2,0)</f>
        <v>0</v>
      </c>
    </row>
    <row r="3" spans="1:10" x14ac:dyDescent="0.45">
      <c r="A3" s="25">
        <f>'Test Completo'!A3</f>
        <v>1298</v>
      </c>
      <c r="B3" s="2" t="str">
        <f>IFERROR(INDEX('Piano del test'!$A$5:$A$13,MATCH('Test Completo'!B3&amp;"|"&amp;'Test Completo'!C3&amp;"|"&amp;'Test Completo'!D3&amp;"|"&amp;'Test Completo'!E3,'Piano del test'!$R$5:$R$13,0)),"?")</f>
        <v>T2</v>
      </c>
      <c r="C3" s="25">
        <f>'Test Completo'!G3</f>
        <v>4</v>
      </c>
      <c r="D3" s="26">
        <f>IF('Test Completo'!M3="","",'Test Completo'!M3)</f>
        <v>30.3</v>
      </c>
      <c r="E3" s="25">
        <f>IF('Test Completo'!I3="","",'Test Completo'!I3)</f>
        <v>1</v>
      </c>
      <c r="F3" s="26">
        <f>IF('Test Completo'!H3="","",'Test Completo'!H3)</f>
        <v>5.04</v>
      </c>
      <c r="G3" s="26">
        <f>IF('Test Completo'!L3="","",'Test Completo'!L3)</f>
        <v>3.2</v>
      </c>
      <c r="H3" s="26">
        <f>IF('Test Completo'!T3="","",'Test Completo'!T3)</f>
        <v>1</v>
      </c>
      <c r="I3" s="2" t="str">
        <f>IF('Test Completo'!M3="","non eseguita",IF(N('Test Completo'!M3)=0,"timeout",IF(OR(N('Test Completo'!H3)&lt;0,N('Test Completo'!L3)&lt;0),"tempi negativi",IF(N('Test Completo'!I3)&lt;1,"NavMesh non attivato",IF(N('Test Completo'!T3)&gt;INDEX('Piano del test'!$N$5:$N$13,MATCH(B3,'Piano del test'!$A$5:$A$13,0)),"blocco al totem",IF(OR(N('Test Completo'!M3)&gt;'Piano del test'!$C$19,N('Test Completo'!H3)&gt;'Piano del test'!$C$20),"oltre le soglie","riuscita"))))))</f>
        <v>riuscita</v>
      </c>
      <c r="J3" s="27">
        <f t="shared" si="0"/>
        <v>30.3</v>
      </c>
    </row>
    <row r="4" spans="1:10" x14ac:dyDescent="0.45">
      <c r="A4" s="25">
        <f>'Test Completo'!A4</f>
        <v>1299</v>
      </c>
      <c r="B4" s="2" t="str">
        <f>IFERROR(INDEX('Piano del test'!$A$5:$A$13,MATCH('Test Completo'!B4&amp;"|"&amp;'Test Completo'!C4&amp;"|"&amp;'Test Completo'!D4&amp;"|"&amp;'Test Completo'!E4,'Piano del test'!$R$5:$R$13,0)),"?")</f>
        <v>T3</v>
      </c>
      <c r="C4" s="25">
        <f>'Test Completo'!G4</f>
        <v>4</v>
      </c>
      <c r="D4" s="26">
        <f>IF('Test Completo'!M4="","",'Test Completo'!M4)</f>
        <v>33.159999999999997</v>
      </c>
      <c r="E4" s="25">
        <f>IF('Test Completo'!I4="","",'Test Completo'!I4)</f>
        <v>1</v>
      </c>
      <c r="F4" s="26">
        <f>IF('Test Completo'!H4="","",'Test Completo'!H4)</f>
        <v>1.96</v>
      </c>
      <c r="G4" s="26">
        <f>IF('Test Completo'!L4="","",'Test Completo'!L4)</f>
        <v>9.66</v>
      </c>
      <c r="H4" s="26">
        <f>IF('Test Completo'!T4="","",'Test Completo'!T4)</f>
        <v>4.82</v>
      </c>
      <c r="I4" s="2" t="str">
        <f>IF('Test Completo'!M4="","non eseguita",IF(N('Test Completo'!M4)=0,"timeout",IF(OR(N('Test Completo'!H4)&lt;0,N('Test Completo'!L4)&lt;0),"tempi negativi",IF(N('Test Completo'!I4)&lt;1,"NavMesh non attivato",IF(N('Test Completo'!T4)&gt;INDEX('Piano del test'!$N$5:$N$13,MATCH(B4,'Piano del test'!$A$5:$A$13,0)),"blocco al totem",IF(OR(N('Test Completo'!M4)&gt;'Piano del test'!$C$19,N('Test Completo'!H4)&gt;'Piano del test'!$C$20),"oltre le soglie","riuscita"))))))</f>
        <v>riuscita</v>
      </c>
      <c r="J4" s="27">
        <f t="shared" si="0"/>
        <v>33.159999999999997</v>
      </c>
    </row>
    <row r="5" spans="1:10" x14ac:dyDescent="0.45">
      <c r="A5" s="25">
        <f>'Test Completo'!A5</f>
        <v>1300</v>
      </c>
      <c r="B5" s="2" t="str">
        <f>IFERROR(INDEX('Piano del test'!$A$5:$A$13,MATCH('Test Completo'!B5&amp;"|"&amp;'Test Completo'!C5&amp;"|"&amp;'Test Completo'!D5&amp;"|"&amp;'Test Completo'!E5,'Piano del test'!$R$5:$R$13,0)),"?")</f>
        <v>T4</v>
      </c>
      <c r="C5" s="25">
        <f>'Test Completo'!G5</f>
        <v>4</v>
      </c>
      <c r="D5" s="26">
        <f>IF('Test Completo'!M5="","",'Test Completo'!M5)</f>
        <v>30.12</v>
      </c>
      <c r="E5" s="25">
        <f>IF('Test Completo'!I5="","",'Test Completo'!I5)</f>
        <v>1</v>
      </c>
      <c r="F5" s="26">
        <f>IF('Test Completo'!H5="","",'Test Completo'!H5)</f>
        <v>2.2799999999999998</v>
      </c>
      <c r="G5" s="26">
        <f>IF('Test Completo'!L5="","",'Test Completo'!L5)</f>
        <v>9.8000000000000007</v>
      </c>
      <c r="H5" s="26">
        <f>IF('Test Completo'!T5="","",'Test Completo'!T5)</f>
        <v>4.9000000000000004</v>
      </c>
      <c r="I5" s="2" t="str">
        <f>IF('Test Completo'!M5="","non eseguita",IF(N('Test Completo'!M5)=0,"timeout",IF(OR(N('Test Completo'!H5)&lt;0,N('Test Completo'!L5)&lt;0),"tempi negativi",IF(N('Test Completo'!I5)&lt;1,"NavMesh non attivato",IF(N('Test Completo'!T5)&gt;INDEX('Piano del test'!$N$5:$N$13,MATCH(B5,'Piano del test'!$A$5:$A$13,0)),"blocco al totem",IF(OR(N('Test Completo'!M5)&gt;'Piano del test'!$C$19,N('Test Completo'!H5)&gt;'Piano del test'!$C$20),"oltre le soglie","riuscita"))))))</f>
        <v>riuscita</v>
      </c>
      <c r="J5" s="27">
        <f t="shared" si="0"/>
        <v>30.12</v>
      </c>
    </row>
    <row r="6" spans="1:10" x14ac:dyDescent="0.45">
      <c r="A6" s="25">
        <f>'Test Completo'!A6</f>
        <v>1301</v>
      </c>
      <c r="B6" s="2" t="str">
        <f>IFERROR(INDEX('Piano del test'!$A$5:$A$13,MATCH('Test Completo'!B6&amp;"|"&amp;'Test Completo'!C6&amp;"|"&amp;'Test Completo'!D6&amp;"|"&amp;'Test Completo'!E6,'Piano del test'!$R$5:$R$13,0)),"?")</f>
        <v>T5</v>
      </c>
      <c r="C6" s="25">
        <f>'Test Completo'!G6</f>
        <v>4</v>
      </c>
      <c r="D6" s="26">
        <f>IF('Test Completo'!M6="","",'Test Completo'!M6)</f>
        <v>31.06</v>
      </c>
      <c r="E6" s="25">
        <f>IF('Test Completo'!I6="","",'Test Completo'!I6)</f>
        <v>1</v>
      </c>
      <c r="F6" s="26">
        <f>IF('Test Completo'!H6="","",'Test Completo'!H6)</f>
        <v>2.8</v>
      </c>
      <c r="G6" s="26">
        <f>IF('Test Completo'!L6="","",'Test Completo'!L6)</f>
        <v>9.7200000000000006</v>
      </c>
      <c r="H6" s="26">
        <f>IF('Test Completo'!T6="","",'Test Completo'!T6)</f>
        <v>4.9000000000000004</v>
      </c>
      <c r="I6" s="2" t="str">
        <f>IF('Test Completo'!M6="","non eseguita",IF(N('Test Completo'!M6)=0,"timeout",IF(OR(N('Test Completo'!H6)&lt;0,N('Test Completo'!L6)&lt;0),"tempi negativi",IF(N('Test Completo'!I6)&lt;1,"NavMesh non attivato",IF(N('Test Completo'!T6)&gt;INDEX('Piano del test'!$N$5:$N$13,MATCH(B6,'Piano del test'!$A$5:$A$13,0)),"blocco al totem",IF(OR(N('Test Completo'!M6)&gt;'Piano del test'!$C$19,N('Test Completo'!H6)&gt;'Piano del test'!$C$20),"oltre le soglie","riuscita"))))))</f>
        <v>riuscita</v>
      </c>
      <c r="J6" s="27">
        <f t="shared" si="0"/>
        <v>31.06</v>
      </c>
    </row>
    <row r="7" spans="1:10" x14ac:dyDescent="0.45">
      <c r="A7" s="25">
        <f>'Test Completo'!A7</f>
        <v>1302</v>
      </c>
      <c r="B7" s="2" t="str">
        <f>IFERROR(INDEX('Piano del test'!$A$5:$A$13,MATCH('Test Completo'!B7&amp;"|"&amp;'Test Completo'!C7&amp;"|"&amp;'Test Completo'!D7&amp;"|"&amp;'Test Completo'!E7,'Piano del test'!$R$5:$R$13,0)),"?")</f>
        <v>T6</v>
      </c>
      <c r="C7" s="25">
        <f>'Test Completo'!G7</f>
        <v>4</v>
      </c>
      <c r="D7" s="26">
        <f>IF('Test Completo'!M7="","",'Test Completo'!M7)</f>
        <v>26.94</v>
      </c>
      <c r="E7" s="25">
        <f>IF('Test Completo'!I7="","",'Test Completo'!I7)</f>
        <v>1</v>
      </c>
      <c r="F7" s="26">
        <f>IF('Test Completo'!H7="","",'Test Completo'!H7)</f>
        <v>3.2</v>
      </c>
      <c r="G7" s="26">
        <f>IF('Test Completo'!L7="","",'Test Completo'!L7)</f>
        <v>3.28</v>
      </c>
      <c r="H7" s="26">
        <f>IF('Test Completo'!T7="","",'Test Completo'!T7)</f>
        <v>1</v>
      </c>
      <c r="I7" s="2" t="str">
        <f>IF('Test Completo'!M7="","non eseguita",IF(N('Test Completo'!M7)=0,"timeout",IF(OR(N('Test Completo'!H7)&lt;0,N('Test Completo'!L7)&lt;0),"tempi negativi",IF(N('Test Completo'!I7)&lt;1,"NavMesh non attivato",IF(N('Test Completo'!T7)&gt;INDEX('Piano del test'!$N$5:$N$13,MATCH(B7,'Piano del test'!$A$5:$A$13,0)),"blocco al totem",IF(OR(N('Test Completo'!M7)&gt;'Piano del test'!$C$19,N('Test Completo'!H7)&gt;'Piano del test'!$C$20),"oltre le soglie","riuscita"))))))</f>
        <v>riuscita</v>
      </c>
      <c r="J7" s="27">
        <f t="shared" si="0"/>
        <v>26.94</v>
      </c>
    </row>
    <row r="8" spans="1:10" x14ac:dyDescent="0.45">
      <c r="A8" s="25">
        <f>'Test Completo'!A8</f>
        <v>1303</v>
      </c>
      <c r="B8" s="2" t="str">
        <f>IFERROR(INDEX('Piano del test'!$A$5:$A$13,MATCH('Test Completo'!B8&amp;"|"&amp;'Test Completo'!C8&amp;"|"&amp;'Test Completo'!D8&amp;"|"&amp;'Test Completo'!E8,'Piano del test'!$R$5:$R$13,0)),"?")</f>
        <v>T7</v>
      </c>
      <c r="C8" s="25">
        <f>'Test Completo'!G8</f>
        <v>4</v>
      </c>
      <c r="D8" s="26">
        <f>IF('Test Completo'!M8="","",'Test Completo'!M8)</f>
        <v>32.799999999999997</v>
      </c>
      <c r="E8" s="25">
        <f>IF('Test Completo'!I8="","",'Test Completo'!I8)</f>
        <v>1</v>
      </c>
      <c r="F8" s="26">
        <f>IF('Test Completo'!H8="","",'Test Completo'!H8)</f>
        <v>2.1</v>
      </c>
      <c r="G8" s="26">
        <f>IF('Test Completo'!L8="","",'Test Completo'!L8)</f>
        <v>9.66</v>
      </c>
      <c r="H8" s="26">
        <f>IF('Test Completo'!T8="","",'Test Completo'!T8)</f>
        <v>4.84</v>
      </c>
      <c r="I8" s="2" t="str">
        <f>IF('Test Completo'!M8="","non eseguita",IF(N('Test Completo'!M8)=0,"timeout",IF(OR(N('Test Completo'!H8)&lt;0,N('Test Completo'!L8)&lt;0),"tempi negativi",IF(N('Test Completo'!I8)&lt;1,"NavMesh non attivato",IF(N('Test Completo'!T8)&gt;INDEX('Piano del test'!$N$5:$N$13,MATCH(B8,'Piano del test'!$A$5:$A$13,0)),"blocco al totem",IF(OR(N('Test Completo'!M8)&gt;'Piano del test'!$C$19,N('Test Completo'!H8)&gt;'Piano del test'!$C$20),"oltre le soglie","riuscita"))))))</f>
        <v>riuscita</v>
      </c>
      <c r="J8" s="27">
        <f t="shared" si="0"/>
        <v>32.799999999999997</v>
      </c>
    </row>
    <row r="9" spans="1:10" x14ac:dyDescent="0.45">
      <c r="A9" s="25">
        <f>'Test Completo'!A9</f>
        <v>1304</v>
      </c>
      <c r="B9" s="2" t="str">
        <f>IFERROR(INDEX('Piano del test'!$A$5:$A$13,MATCH('Test Completo'!B9&amp;"|"&amp;'Test Completo'!C9&amp;"|"&amp;'Test Completo'!D9&amp;"|"&amp;'Test Completo'!E9,'Piano del test'!$R$5:$R$13,0)),"?")</f>
        <v>T8</v>
      </c>
      <c r="C9" s="25">
        <f>'Test Completo'!G9</f>
        <v>4</v>
      </c>
      <c r="D9" s="26">
        <f>IF('Test Completo'!M9="","",'Test Completo'!M9)</f>
        <v>28.24</v>
      </c>
      <c r="E9" s="25">
        <f>IF('Test Completo'!I9="","",'Test Completo'!I9)</f>
        <v>1</v>
      </c>
      <c r="F9" s="26">
        <f>IF('Test Completo'!H9="","",'Test Completo'!H9)</f>
        <v>3.46</v>
      </c>
      <c r="G9" s="26">
        <f>IF('Test Completo'!L9="","",'Test Completo'!L9)</f>
        <v>3.36</v>
      </c>
      <c r="H9" s="26">
        <f>IF('Test Completo'!T9="","",'Test Completo'!T9)</f>
        <v>1.04</v>
      </c>
      <c r="I9" s="2" t="str">
        <f>IF('Test Completo'!M9="","non eseguita",IF(N('Test Completo'!M9)=0,"timeout",IF(OR(N('Test Completo'!H9)&lt;0,N('Test Completo'!L9)&lt;0),"tempi negativi",IF(N('Test Completo'!I9)&lt;1,"NavMesh non attivato",IF(N('Test Completo'!T9)&gt;INDEX('Piano del test'!$N$5:$N$13,MATCH(B9,'Piano del test'!$A$5:$A$13,0)),"blocco al totem",IF(OR(N('Test Completo'!M9)&gt;'Piano del test'!$C$19,N('Test Completo'!H9)&gt;'Piano del test'!$C$20),"oltre le soglie","riuscita"))))))</f>
        <v>riuscita</v>
      </c>
      <c r="J9" s="27">
        <f t="shared" si="0"/>
        <v>28.24</v>
      </c>
    </row>
    <row r="10" spans="1:10" x14ac:dyDescent="0.45">
      <c r="A10" s="25">
        <f>'Test Completo'!A10</f>
        <v>1305</v>
      </c>
      <c r="B10" s="2" t="str">
        <f>IFERROR(INDEX('Piano del test'!$A$5:$A$13,MATCH('Test Completo'!B10&amp;"|"&amp;'Test Completo'!C10&amp;"|"&amp;'Test Completo'!D10&amp;"|"&amp;'Test Completo'!E10,'Piano del test'!$R$5:$R$13,0)),"?")</f>
        <v>T9</v>
      </c>
      <c r="C10" s="25">
        <f>'Test Completo'!G10</f>
        <v>4</v>
      </c>
      <c r="D10" s="26">
        <f>IF('Test Completo'!M10="","",'Test Completo'!M10)</f>
        <v>35.26</v>
      </c>
      <c r="E10" s="25">
        <f>IF('Test Completo'!I10="","",'Test Completo'!I10)</f>
        <v>1</v>
      </c>
      <c r="F10" s="26">
        <f>IF('Test Completo'!H10="","",'Test Completo'!H10)</f>
        <v>1.8</v>
      </c>
      <c r="G10" s="26">
        <f>IF('Test Completo'!L10="","",'Test Completo'!L10)</f>
        <v>5.26</v>
      </c>
      <c r="H10" s="26">
        <f>IF('Test Completo'!T10="","",'Test Completo'!T10)</f>
        <v>2.2000000000000002</v>
      </c>
      <c r="I10" s="2" t="str">
        <f>IF('Test Completo'!M10="","non eseguita",IF(N('Test Completo'!M10)=0,"timeout",IF(OR(N('Test Completo'!H10)&lt;0,N('Test Completo'!L10)&lt;0),"tempi negativi",IF(N('Test Completo'!I10)&lt;1,"NavMesh non attivato",IF(N('Test Completo'!T10)&gt;INDEX('Piano del test'!$N$5:$N$13,MATCH(B10,'Piano del test'!$A$5:$A$13,0)),"blocco al totem",IF(OR(N('Test Completo'!M10)&gt;'Piano del test'!$C$19,N('Test Completo'!H10)&gt;'Piano del test'!$C$20),"oltre le soglie","riuscita"))))))</f>
        <v>riuscita</v>
      </c>
      <c r="J10" s="27">
        <f t="shared" si="0"/>
        <v>35.26</v>
      </c>
    </row>
    <row r="11" spans="1:10" x14ac:dyDescent="0.45">
      <c r="A11" s="25">
        <f>'Test Completo'!A11</f>
        <v>1306</v>
      </c>
      <c r="B11" s="2" t="str">
        <f>IFERROR(INDEX('Piano del test'!$A$5:$A$13,MATCH('Test Completo'!B11&amp;"|"&amp;'Test Completo'!C11&amp;"|"&amp;'Test Completo'!D11&amp;"|"&amp;'Test Completo'!E11,'Piano del test'!$R$5:$R$13,0)),"?")</f>
        <v>T1</v>
      </c>
      <c r="C11" s="25">
        <f>'Test Completo'!G11</f>
        <v>5</v>
      </c>
      <c r="D11" s="26">
        <f>IF('Test Completo'!M11="","",'Test Completo'!M11)</f>
        <v>26.6</v>
      </c>
      <c r="E11" s="25">
        <f>IF('Test Completo'!I11="","",'Test Completo'!I11)</f>
        <v>1</v>
      </c>
      <c r="F11" s="26">
        <f>IF('Test Completo'!H11="","",'Test Completo'!H11)</f>
        <v>3.14</v>
      </c>
      <c r="G11" s="26">
        <f>IF('Test Completo'!L11="","",'Test Completo'!L11)</f>
        <v>3.3</v>
      </c>
      <c r="H11" s="26">
        <f>IF('Test Completo'!T11="","",'Test Completo'!T11)</f>
        <v>1.02</v>
      </c>
      <c r="I11" s="2" t="str">
        <f>IF('Test Completo'!M11="","non eseguita",IF(N('Test Completo'!M11)=0,"timeout",IF(OR(N('Test Completo'!H11)&lt;0,N('Test Completo'!L11)&lt;0),"tempi negativi",IF(N('Test Completo'!I11)&lt;1,"NavMesh non attivato",IF(N('Test Completo'!T11)&gt;INDEX('Piano del test'!$N$5:$N$13,MATCH(B11,'Piano del test'!$A$5:$A$13,0)),"blocco al totem",IF(OR(N('Test Completo'!M11)&gt;'Piano del test'!$C$19,N('Test Completo'!H11)&gt;'Piano del test'!$C$20),"oltre le soglie","riuscita"))))))</f>
        <v>riuscita</v>
      </c>
      <c r="J11" s="27">
        <f t="shared" si="0"/>
        <v>26.6</v>
      </c>
    </row>
    <row r="12" spans="1:10" x14ac:dyDescent="0.45">
      <c r="A12" s="25">
        <f>'Test Completo'!A12</f>
        <v>1307</v>
      </c>
      <c r="B12" s="2" t="str">
        <f>IFERROR(INDEX('Piano del test'!$A$5:$A$13,MATCH('Test Completo'!B12&amp;"|"&amp;'Test Completo'!C12&amp;"|"&amp;'Test Completo'!D12&amp;"|"&amp;'Test Completo'!E12,'Piano del test'!$R$5:$R$13,0)),"?")</f>
        <v>T2</v>
      </c>
      <c r="C12" s="25">
        <f>'Test Completo'!G12</f>
        <v>5</v>
      </c>
      <c r="D12" s="26">
        <f>IF('Test Completo'!M12="","",'Test Completo'!M12)</f>
        <v>0</v>
      </c>
      <c r="E12" s="25">
        <f>IF('Test Completo'!I12="","",'Test Completo'!I12)</f>
        <v>0</v>
      </c>
      <c r="F12" s="26">
        <f>IF('Test Completo'!H12="","",'Test Completo'!H12)</f>
        <v>0</v>
      </c>
      <c r="G12" s="26">
        <f>IF('Test Completo'!L12="","",'Test Completo'!L12)</f>
        <v>0</v>
      </c>
      <c r="H12" s="26">
        <f>IF('Test Completo'!T12="","",'Test Completo'!T12)</f>
        <v>0</v>
      </c>
      <c r="I12" s="2" t="str">
        <f>IF('Test Completo'!M12="","non eseguita",IF(N('Test Completo'!M12)=0,"timeout",IF(OR(N('Test Completo'!H12)&lt;0,N('Test Completo'!L12)&lt;0),"tempi negativi",IF(N('Test Completo'!I12)&lt;1,"NavMesh non attivato",IF(N('Test Completo'!T12)&gt;INDEX('Piano del test'!$N$5:$N$13,MATCH(B12,'Piano del test'!$A$5:$A$13,0)),"blocco al totem",IF(OR(N('Test Completo'!M12)&gt;'Piano del test'!$C$19,N('Test Completo'!H12)&gt;'Piano del test'!$C$20),"oltre le soglie","riuscita"))))))</f>
        <v>timeout</v>
      </c>
      <c r="J12" s="27">
        <f t="shared" si="0"/>
        <v>0</v>
      </c>
    </row>
    <row r="13" spans="1:10" x14ac:dyDescent="0.45">
      <c r="A13" s="25">
        <f>'Test Completo'!A13</f>
        <v>1308</v>
      </c>
      <c r="B13" s="2" t="str">
        <f>IFERROR(INDEX('Piano del test'!$A$5:$A$13,MATCH('Test Completo'!B13&amp;"|"&amp;'Test Completo'!C13&amp;"|"&amp;'Test Completo'!D13&amp;"|"&amp;'Test Completo'!E13,'Piano del test'!$R$5:$R$13,0)),"?")</f>
        <v>T3</v>
      </c>
      <c r="C13" s="25">
        <f>'Test Completo'!G13</f>
        <v>5</v>
      </c>
      <c r="D13" s="26">
        <f>IF('Test Completo'!M13="","",'Test Completo'!M13)</f>
        <v>0</v>
      </c>
      <c r="E13" s="25">
        <f>IF('Test Completo'!I13="","",'Test Completo'!I13)</f>
        <v>0</v>
      </c>
      <c r="F13" s="26">
        <f>IF('Test Completo'!H13="","",'Test Completo'!H13)</f>
        <v>0</v>
      </c>
      <c r="G13" s="26">
        <f>IF('Test Completo'!L13="","",'Test Completo'!L13)</f>
        <v>0</v>
      </c>
      <c r="H13" s="26">
        <f>IF('Test Completo'!T13="","",'Test Completo'!T13)</f>
        <v>0</v>
      </c>
      <c r="I13" s="2" t="str">
        <f>IF('Test Completo'!M13="","non eseguita",IF(N('Test Completo'!M13)=0,"timeout",IF(OR(N('Test Completo'!H13)&lt;0,N('Test Completo'!L13)&lt;0),"tempi negativi",IF(N('Test Completo'!I13)&lt;1,"NavMesh non attivato",IF(N('Test Completo'!T13)&gt;INDEX('Piano del test'!$N$5:$N$13,MATCH(B13,'Piano del test'!$A$5:$A$13,0)),"blocco al totem",IF(OR(N('Test Completo'!M13)&gt;'Piano del test'!$C$19,N('Test Completo'!H13)&gt;'Piano del test'!$C$20),"oltre le soglie","riuscita"))))))</f>
        <v>timeout</v>
      </c>
      <c r="J13" s="27">
        <f t="shared" si="0"/>
        <v>0</v>
      </c>
    </row>
    <row r="14" spans="1:10" x14ac:dyDescent="0.45">
      <c r="A14" s="25">
        <f>'Test Completo'!A14</f>
        <v>1309</v>
      </c>
      <c r="B14" s="2" t="str">
        <f>IFERROR(INDEX('Piano del test'!$A$5:$A$13,MATCH('Test Completo'!B14&amp;"|"&amp;'Test Completo'!C14&amp;"|"&amp;'Test Completo'!D14&amp;"|"&amp;'Test Completo'!E14,'Piano del test'!$R$5:$R$13,0)),"?")</f>
        <v>T4</v>
      </c>
      <c r="C14" s="25">
        <f>'Test Completo'!G14</f>
        <v>5</v>
      </c>
      <c r="D14" s="26">
        <f>IF('Test Completo'!M14="","",'Test Completo'!M14)</f>
        <v>37.22</v>
      </c>
      <c r="E14" s="25">
        <f>IF('Test Completo'!I14="","",'Test Completo'!I14)</f>
        <v>1</v>
      </c>
      <c r="F14" s="26">
        <f>IF('Test Completo'!H14="","",'Test Completo'!H14)</f>
        <v>2.3199999999999998</v>
      </c>
      <c r="G14" s="26">
        <f>IF('Test Completo'!L14="","",'Test Completo'!L14)</f>
        <v>9.58</v>
      </c>
      <c r="H14" s="26">
        <f>IF('Test Completo'!T14="","",'Test Completo'!T14)</f>
        <v>4.76</v>
      </c>
      <c r="I14" s="2" t="str">
        <f>IF('Test Completo'!M14="","non eseguita",IF(N('Test Completo'!M14)=0,"timeout",IF(OR(N('Test Completo'!H14)&lt;0,N('Test Completo'!L14)&lt;0),"tempi negativi",IF(N('Test Completo'!I14)&lt;1,"NavMesh non attivato",IF(N('Test Completo'!T14)&gt;INDEX('Piano del test'!$N$5:$N$13,MATCH(B14,'Piano del test'!$A$5:$A$13,0)),"blocco al totem",IF(OR(N('Test Completo'!M14)&gt;'Piano del test'!$C$19,N('Test Completo'!H14)&gt;'Piano del test'!$C$20),"oltre le soglie","riuscita"))))))</f>
        <v>riuscita</v>
      </c>
      <c r="J14" s="27">
        <f t="shared" si="0"/>
        <v>37.22</v>
      </c>
    </row>
    <row r="15" spans="1:10" x14ac:dyDescent="0.45">
      <c r="A15" s="25">
        <f>'Test Completo'!A15</f>
        <v>1310</v>
      </c>
      <c r="B15" s="2" t="str">
        <f>IFERROR(INDEX('Piano del test'!$A$5:$A$13,MATCH('Test Completo'!B15&amp;"|"&amp;'Test Completo'!C15&amp;"|"&amp;'Test Completo'!D15&amp;"|"&amp;'Test Completo'!E15,'Piano del test'!$R$5:$R$13,0)),"?")</f>
        <v>T5</v>
      </c>
      <c r="C15" s="25">
        <f>'Test Completo'!G15</f>
        <v>5</v>
      </c>
      <c r="D15" s="26">
        <f>IF('Test Completo'!M15="","",'Test Completo'!M15)</f>
        <v>29.82</v>
      </c>
      <c r="E15" s="25">
        <f>IF('Test Completo'!I15="","",'Test Completo'!I15)</f>
        <v>1</v>
      </c>
      <c r="F15" s="26">
        <f>IF('Test Completo'!H15="","",'Test Completo'!H15)</f>
        <v>2.12</v>
      </c>
      <c r="G15" s="26">
        <f>IF('Test Completo'!L15="","",'Test Completo'!L15)</f>
        <v>9.7200000000000006</v>
      </c>
      <c r="H15" s="26">
        <f>IF('Test Completo'!T15="","",'Test Completo'!T15)</f>
        <v>4.88</v>
      </c>
      <c r="I15" s="2" t="str">
        <f>IF('Test Completo'!M15="","non eseguita",IF(N('Test Completo'!M15)=0,"timeout",IF(OR(N('Test Completo'!H15)&lt;0,N('Test Completo'!L15)&lt;0),"tempi negativi",IF(N('Test Completo'!I15)&lt;1,"NavMesh non attivato",IF(N('Test Completo'!T15)&gt;INDEX('Piano del test'!$N$5:$N$13,MATCH(B15,'Piano del test'!$A$5:$A$13,0)),"blocco al totem",IF(OR(N('Test Completo'!M15)&gt;'Piano del test'!$C$19,N('Test Completo'!H15)&gt;'Piano del test'!$C$20),"oltre le soglie","riuscita"))))))</f>
        <v>riuscita</v>
      </c>
      <c r="J15" s="27">
        <f t="shared" si="0"/>
        <v>29.82</v>
      </c>
    </row>
    <row r="16" spans="1:10" x14ac:dyDescent="0.45">
      <c r="A16" s="25">
        <f>'Test Completo'!A16</f>
        <v>1311</v>
      </c>
      <c r="B16" s="2" t="str">
        <f>IFERROR(INDEX('Piano del test'!$A$5:$A$13,MATCH('Test Completo'!B16&amp;"|"&amp;'Test Completo'!C16&amp;"|"&amp;'Test Completo'!D16&amp;"|"&amp;'Test Completo'!E16,'Piano del test'!$R$5:$R$13,0)),"?")</f>
        <v>T6</v>
      </c>
      <c r="C16" s="25">
        <f>'Test Completo'!G16</f>
        <v>5</v>
      </c>
      <c r="D16" s="26">
        <f>IF('Test Completo'!M16="","",'Test Completo'!M16)</f>
        <v>49.32</v>
      </c>
      <c r="E16" s="25">
        <f>IF('Test Completo'!I16="","",'Test Completo'!I16)</f>
        <v>1</v>
      </c>
      <c r="F16" s="26">
        <f>IF('Test Completo'!H16="","",'Test Completo'!H16)</f>
        <v>3.5</v>
      </c>
      <c r="G16" s="26">
        <f>IF('Test Completo'!L16="","",'Test Completo'!L16)</f>
        <v>24.68</v>
      </c>
      <c r="H16" s="26">
        <f>IF('Test Completo'!T16="","",'Test Completo'!T16)</f>
        <v>22.46</v>
      </c>
      <c r="I16" s="2" t="str">
        <f>IF('Test Completo'!M16="","non eseguita",IF(N('Test Completo'!M16)=0,"timeout",IF(OR(N('Test Completo'!H16)&lt;0,N('Test Completo'!L16)&lt;0),"tempi negativi",IF(N('Test Completo'!I16)&lt;1,"NavMesh non attivato",IF(N('Test Completo'!T16)&gt;INDEX('Piano del test'!$N$5:$N$13,MATCH(B16,'Piano del test'!$A$5:$A$13,0)),"blocco al totem",IF(OR(N('Test Completo'!M16)&gt;'Piano del test'!$C$19,N('Test Completo'!H16)&gt;'Piano del test'!$C$20),"oltre le soglie","riuscita"))))))</f>
        <v>blocco al totem</v>
      </c>
      <c r="J16" s="27">
        <f t="shared" si="0"/>
        <v>0</v>
      </c>
    </row>
    <row r="17" spans="1:10" x14ac:dyDescent="0.45">
      <c r="A17" s="25">
        <f>'Test Completo'!A17</f>
        <v>1312</v>
      </c>
      <c r="B17" s="2" t="str">
        <f>IFERROR(INDEX('Piano del test'!$A$5:$A$13,MATCH('Test Completo'!B17&amp;"|"&amp;'Test Completo'!C17&amp;"|"&amp;'Test Completo'!D17&amp;"|"&amp;'Test Completo'!E17,'Piano del test'!$R$5:$R$13,0)),"?")</f>
        <v>T7</v>
      </c>
      <c r="C17" s="25">
        <f>'Test Completo'!G17</f>
        <v>5</v>
      </c>
      <c r="D17" s="26">
        <f>IF('Test Completo'!M17="","",'Test Completo'!M17)</f>
        <v>32.32</v>
      </c>
      <c r="E17" s="25">
        <f>IF('Test Completo'!I17="","",'Test Completo'!I17)</f>
        <v>1</v>
      </c>
      <c r="F17" s="26">
        <f>IF('Test Completo'!H17="","",'Test Completo'!H17)</f>
        <v>1.78</v>
      </c>
      <c r="G17" s="26">
        <f>IF('Test Completo'!L17="","",'Test Completo'!L17)</f>
        <v>9.6999999999999993</v>
      </c>
      <c r="H17" s="26">
        <f>IF('Test Completo'!T17="","",'Test Completo'!T17)</f>
        <v>4.84</v>
      </c>
      <c r="I17" s="2" t="str">
        <f>IF('Test Completo'!M17="","non eseguita",IF(N('Test Completo'!M17)=0,"timeout",IF(OR(N('Test Completo'!H17)&lt;0,N('Test Completo'!L17)&lt;0),"tempi negativi",IF(N('Test Completo'!I17)&lt;1,"NavMesh non attivato",IF(N('Test Completo'!T17)&gt;INDEX('Piano del test'!$N$5:$N$13,MATCH(B17,'Piano del test'!$A$5:$A$13,0)),"blocco al totem",IF(OR(N('Test Completo'!M17)&gt;'Piano del test'!$C$19,N('Test Completo'!H17)&gt;'Piano del test'!$C$20),"oltre le soglie","riuscita"))))))</f>
        <v>riuscita</v>
      </c>
      <c r="J17" s="27">
        <f t="shared" si="0"/>
        <v>32.32</v>
      </c>
    </row>
    <row r="18" spans="1:10" x14ac:dyDescent="0.45">
      <c r="A18" s="25">
        <f>'Test Completo'!A18</f>
        <v>1313</v>
      </c>
      <c r="B18" s="2" t="str">
        <f>IFERROR(INDEX('Piano del test'!$A$5:$A$13,MATCH('Test Completo'!B18&amp;"|"&amp;'Test Completo'!C18&amp;"|"&amp;'Test Completo'!D18&amp;"|"&amp;'Test Completo'!E18,'Piano del test'!$R$5:$R$13,0)),"?")</f>
        <v>T8</v>
      </c>
      <c r="C18" s="25">
        <f>'Test Completo'!G18</f>
        <v>5</v>
      </c>
      <c r="D18" s="26">
        <f>IF('Test Completo'!M18="","",'Test Completo'!M18)</f>
        <v>26.48</v>
      </c>
      <c r="E18" s="25">
        <f>IF('Test Completo'!I18="","",'Test Completo'!I18)</f>
        <v>1</v>
      </c>
      <c r="F18" s="26">
        <f>IF('Test Completo'!H18="","",'Test Completo'!H18)</f>
        <v>3.18</v>
      </c>
      <c r="G18" s="26">
        <f>IF('Test Completo'!L18="","",'Test Completo'!L18)</f>
        <v>3.26</v>
      </c>
      <c r="H18" s="26">
        <f>IF('Test Completo'!T18="","",'Test Completo'!T18)</f>
        <v>0.98</v>
      </c>
      <c r="I18" s="2" t="str">
        <f>IF('Test Completo'!M18="","non eseguita",IF(N('Test Completo'!M18)=0,"timeout",IF(OR(N('Test Completo'!H18)&lt;0,N('Test Completo'!L18)&lt;0),"tempi negativi",IF(N('Test Completo'!I18)&lt;1,"NavMesh non attivato",IF(N('Test Completo'!T18)&gt;INDEX('Piano del test'!$N$5:$N$13,MATCH(B18,'Piano del test'!$A$5:$A$13,0)),"blocco al totem",IF(OR(N('Test Completo'!M18)&gt;'Piano del test'!$C$19,N('Test Completo'!H18)&gt;'Piano del test'!$C$20),"oltre le soglie","riuscita"))))))</f>
        <v>riuscita</v>
      </c>
      <c r="J18" s="27">
        <f t="shared" si="0"/>
        <v>26.48</v>
      </c>
    </row>
    <row r="19" spans="1:10" x14ac:dyDescent="0.45">
      <c r="A19" s="25">
        <f>'Test Completo'!A19</f>
        <v>1314</v>
      </c>
      <c r="B19" s="2" t="str">
        <f>IFERROR(INDEX('Piano del test'!$A$5:$A$13,MATCH('Test Completo'!B19&amp;"|"&amp;'Test Completo'!C19&amp;"|"&amp;'Test Completo'!D19&amp;"|"&amp;'Test Completo'!E19,'Piano del test'!$R$5:$R$13,0)),"?")</f>
        <v>T9</v>
      </c>
      <c r="C19" s="25">
        <f>'Test Completo'!G19</f>
        <v>5</v>
      </c>
      <c r="D19" s="26">
        <f>IF('Test Completo'!M19="","",'Test Completo'!M19)</f>
        <v>26.74</v>
      </c>
      <c r="E19" s="25">
        <f>IF('Test Completo'!I19="","",'Test Completo'!I19)</f>
        <v>1</v>
      </c>
      <c r="F19" s="26">
        <f>IF('Test Completo'!H19="","",'Test Completo'!H19)</f>
        <v>1.7</v>
      </c>
      <c r="G19" s="26">
        <f>IF('Test Completo'!L19="","",'Test Completo'!L19)</f>
        <v>5.16</v>
      </c>
      <c r="H19" s="26">
        <f>IF('Test Completo'!T19="","",'Test Completo'!T19)</f>
        <v>2.14</v>
      </c>
      <c r="I19" s="2" t="str">
        <f>IF('Test Completo'!M19="","non eseguita",IF(N('Test Completo'!M19)=0,"timeout",IF(OR(N('Test Completo'!H19)&lt;0,N('Test Completo'!L19)&lt;0),"tempi negativi",IF(N('Test Completo'!I19)&lt;1,"NavMesh non attivato",IF(N('Test Completo'!T19)&gt;INDEX('Piano del test'!$N$5:$N$13,MATCH(B19,'Piano del test'!$A$5:$A$13,0)),"blocco al totem",IF(OR(N('Test Completo'!M19)&gt;'Piano del test'!$C$19,N('Test Completo'!H19)&gt;'Piano del test'!$C$20),"oltre le soglie","riuscita"))))))</f>
        <v>riuscita</v>
      </c>
      <c r="J19" s="27">
        <f t="shared" si="0"/>
        <v>26.74</v>
      </c>
    </row>
    <row r="20" spans="1:10" x14ac:dyDescent="0.45">
      <c r="A20" s="25">
        <f>'Test Completo'!A20</f>
        <v>1315</v>
      </c>
      <c r="B20" s="2" t="str">
        <f>IFERROR(INDEX('Piano del test'!$A$5:$A$13,MATCH('Test Completo'!B20&amp;"|"&amp;'Test Completo'!C20&amp;"|"&amp;'Test Completo'!D20&amp;"|"&amp;'Test Completo'!E20,'Piano del test'!$R$5:$R$13,0)),"?")</f>
        <v>T1</v>
      </c>
      <c r="C20" s="25">
        <f>'Test Completo'!G20</f>
        <v>6</v>
      </c>
      <c r="D20" s="26">
        <f>IF('Test Completo'!M20="","",'Test Completo'!M20)</f>
        <v>29.12</v>
      </c>
      <c r="E20" s="25">
        <f>IF('Test Completo'!I20="","",'Test Completo'!I20)</f>
        <v>1</v>
      </c>
      <c r="F20" s="26">
        <f>IF('Test Completo'!H20="","",'Test Completo'!H20)</f>
        <v>3.66</v>
      </c>
      <c r="G20" s="26">
        <f>IF('Test Completo'!L20="","",'Test Completo'!L20)</f>
        <v>3.36</v>
      </c>
      <c r="H20" s="26">
        <f>IF('Test Completo'!T20="","",'Test Completo'!T20)</f>
        <v>1.04</v>
      </c>
      <c r="I20" s="2" t="str">
        <f>IF('Test Completo'!M20="","non eseguita",IF(N('Test Completo'!M20)=0,"timeout",IF(OR(N('Test Completo'!H20)&lt;0,N('Test Completo'!L20)&lt;0),"tempi negativi",IF(N('Test Completo'!I20)&lt;1,"NavMesh non attivato",IF(N('Test Completo'!T20)&gt;INDEX('Piano del test'!$N$5:$N$13,MATCH(B20,'Piano del test'!$A$5:$A$13,0)),"blocco al totem",IF(OR(N('Test Completo'!M20)&gt;'Piano del test'!$C$19,N('Test Completo'!H20)&gt;'Piano del test'!$C$20),"oltre le soglie","riuscita"))))))</f>
        <v>riuscita</v>
      </c>
      <c r="J20" s="27">
        <f t="shared" si="0"/>
        <v>29.12</v>
      </c>
    </row>
    <row r="21" spans="1:10" x14ac:dyDescent="0.45">
      <c r="A21" s="25">
        <f>'Test Completo'!A21</f>
        <v>1316</v>
      </c>
      <c r="B21" s="2" t="str">
        <f>IFERROR(INDEX('Piano del test'!$A$5:$A$13,MATCH('Test Completo'!B21&amp;"|"&amp;'Test Completo'!C21&amp;"|"&amp;'Test Completo'!D21&amp;"|"&amp;'Test Completo'!E21,'Piano del test'!$R$5:$R$13,0)),"?")</f>
        <v>T2</v>
      </c>
      <c r="C21" s="25">
        <f>'Test Completo'!G21</f>
        <v>6</v>
      </c>
      <c r="D21" s="26">
        <f>IF('Test Completo'!M21="","",'Test Completo'!M21)</f>
        <v>26.82</v>
      </c>
      <c r="E21" s="25">
        <f>IF('Test Completo'!I21="","",'Test Completo'!I21)</f>
        <v>1</v>
      </c>
      <c r="F21" s="26">
        <f>IF('Test Completo'!H21="","",'Test Completo'!H21)</f>
        <v>3.16</v>
      </c>
      <c r="G21" s="26">
        <f>IF('Test Completo'!L21="","",'Test Completo'!L21)</f>
        <v>3.38</v>
      </c>
      <c r="H21" s="26">
        <f>IF('Test Completo'!T21="","",'Test Completo'!T21)</f>
        <v>1.06</v>
      </c>
      <c r="I21" s="2" t="str">
        <f>IF('Test Completo'!M21="","non eseguita",IF(N('Test Completo'!M21)=0,"timeout",IF(OR(N('Test Completo'!H21)&lt;0,N('Test Completo'!L21)&lt;0),"tempi negativi",IF(N('Test Completo'!I21)&lt;1,"NavMesh non attivato",IF(N('Test Completo'!T21)&gt;INDEX('Piano del test'!$N$5:$N$13,MATCH(B21,'Piano del test'!$A$5:$A$13,0)),"blocco al totem",IF(OR(N('Test Completo'!M21)&gt;'Piano del test'!$C$19,N('Test Completo'!H21)&gt;'Piano del test'!$C$20),"oltre le soglie","riuscita"))))))</f>
        <v>riuscita</v>
      </c>
      <c r="J21" s="27">
        <f t="shared" si="0"/>
        <v>26.82</v>
      </c>
    </row>
    <row r="22" spans="1:10" x14ac:dyDescent="0.45">
      <c r="A22" s="25">
        <f>'Test Completo'!A22</f>
        <v>1317</v>
      </c>
      <c r="B22" s="2" t="str">
        <f>IFERROR(INDEX('Piano del test'!$A$5:$A$13,MATCH('Test Completo'!B22&amp;"|"&amp;'Test Completo'!C22&amp;"|"&amp;'Test Completo'!D22&amp;"|"&amp;'Test Completo'!E22,'Piano del test'!$R$5:$R$13,0)),"?")</f>
        <v>T3</v>
      </c>
      <c r="C22" s="25">
        <f>'Test Completo'!G22</f>
        <v>6</v>
      </c>
      <c r="D22" s="26">
        <f>IF('Test Completo'!M22="","",'Test Completo'!M22)</f>
        <v>29.24</v>
      </c>
      <c r="E22" s="25">
        <f>IF('Test Completo'!I22="","",'Test Completo'!I22)</f>
        <v>1</v>
      </c>
      <c r="F22" s="26">
        <f>IF('Test Completo'!H22="","",'Test Completo'!H22)</f>
        <v>1.54</v>
      </c>
      <c r="G22" s="26">
        <f>IF('Test Completo'!L22="","",'Test Completo'!L22)</f>
        <v>9.6999999999999993</v>
      </c>
      <c r="H22" s="26">
        <f>IF('Test Completo'!T22="","",'Test Completo'!T22)</f>
        <v>4.84</v>
      </c>
      <c r="I22" s="2" t="str">
        <f>IF('Test Completo'!M22="","non eseguita",IF(N('Test Completo'!M22)=0,"timeout",IF(OR(N('Test Completo'!H22)&lt;0,N('Test Completo'!L22)&lt;0),"tempi negativi",IF(N('Test Completo'!I22)&lt;1,"NavMesh non attivato",IF(N('Test Completo'!T22)&gt;INDEX('Piano del test'!$N$5:$N$13,MATCH(B22,'Piano del test'!$A$5:$A$13,0)),"blocco al totem",IF(OR(N('Test Completo'!M22)&gt;'Piano del test'!$C$19,N('Test Completo'!H22)&gt;'Piano del test'!$C$20),"oltre le soglie","riuscita"))))))</f>
        <v>riuscita</v>
      </c>
      <c r="J22" s="27">
        <f t="shared" si="0"/>
        <v>29.24</v>
      </c>
    </row>
    <row r="23" spans="1:10" x14ac:dyDescent="0.45">
      <c r="A23" s="25">
        <f>'Test Completo'!A23</f>
        <v>1318</v>
      </c>
      <c r="B23" s="2" t="str">
        <f>IFERROR(INDEX('Piano del test'!$A$5:$A$13,MATCH('Test Completo'!B23&amp;"|"&amp;'Test Completo'!C23&amp;"|"&amp;'Test Completo'!D23&amp;"|"&amp;'Test Completo'!E23,'Piano del test'!$R$5:$R$13,0)),"?")</f>
        <v>T4</v>
      </c>
      <c r="C23" s="25">
        <f>'Test Completo'!G23</f>
        <v>6</v>
      </c>
      <c r="D23" s="26">
        <f>IF('Test Completo'!M23="","",'Test Completo'!M23)</f>
        <v>29.46</v>
      </c>
      <c r="E23" s="25">
        <f>IF('Test Completo'!I23="","",'Test Completo'!I23)</f>
        <v>1</v>
      </c>
      <c r="F23" s="26">
        <f>IF('Test Completo'!H23="","",'Test Completo'!H23)</f>
        <v>1.1200000000000001</v>
      </c>
      <c r="G23" s="26">
        <f>IF('Test Completo'!L23="","",'Test Completo'!L23)</f>
        <v>9.64</v>
      </c>
      <c r="H23" s="26">
        <f>IF('Test Completo'!T23="","",'Test Completo'!T23)</f>
        <v>4.9000000000000004</v>
      </c>
      <c r="I23" s="2" t="str">
        <f>IF('Test Completo'!M23="","non eseguita",IF(N('Test Completo'!M23)=0,"timeout",IF(OR(N('Test Completo'!H23)&lt;0,N('Test Completo'!L23)&lt;0),"tempi negativi",IF(N('Test Completo'!I23)&lt;1,"NavMesh non attivato",IF(N('Test Completo'!T23)&gt;INDEX('Piano del test'!$N$5:$N$13,MATCH(B23,'Piano del test'!$A$5:$A$13,0)),"blocco al totem",IF(OR(N('Test Completo'!M23)&gt;'Piano del test'!$C$19,N('Test Completo'!H23)&gt;'Piano del test'!$C$20),"oltre le soglie","riuscita"))))))</f>
        <v>riuscita</v>
      </c>
      <c r="J23" s="27">
        <f t="shared" si="0"/>
        <v>29.46</v>
      </c>
    </row>
    <row r="24" spans="1:10" x14ac:dyDescent="0.45">
      <c r="A24" s="25">
        <f>'Test Completo'!A24</f>
        <v>1319</v>
      </c>
      <c r="B24" s="2" t="str">
        <f>IFERROR(INDEX('Piano del test'!$A$5:$A$13,MATCH('Test Completo'!B24&amp;"|"&amp;'Test Completo'!C24&amp;"|"&amp;'Test Completo'!D24&amp;"|"&amp;'Test Completo'!E24,'Piano del test'!$R$5:$R$13,0)),"?")</f>
        <v>T5</v>
      </c>
      <c r="C24" s="25">
        <f>'Test Completo'!G24</f>
        <v>6</v>
      </c>
      <c r="D24" s="26">
        <f>IF('Test Completo'!M24="","",'Test Completo'!M24)</f>
        <v>33.200000000000003</v>
      </c>
      <c r="E24" s="25">
        <f>IF('Test Completo'!I24="","",'Test Completo'!I24)</f>
        <v>1</v>
      </c>
      <c r="F24" s="26">
        <f>IF('Test Completo'!H24="","",'Test Completo'!H24)</f>
        <v>1.1200000000000001</v>
      </c>
      <c r="G24" s="26">
        <f>IF('Test Completo'!L24="","",'Test Completo'!L24)</f>
        <v>9.6199999999999992</v>
      </c>
      <c r="H24" s="26">
        <f>IF('Test Completo'!T24="","",'Test Completo'!T24)</f>
        <v>4.84</v>
      </c>
      <c r="I24" s="2" t="str">
        <f>IF('Test Completo'!M24="","non eseguita",IF(N('Test Completo'!M24)=0,"timeout",IF(OR(N('Test Completo'!H24)&lt;0,N('Test Completo'!L24)&lt;0),"tempi negativi",IF(N('Test Completo'!I24)&lt;1,"NavMesh non attivato",IF(N('Test Completo'!T24)&gt;INDEX('Piano del test'!$N$5:$N$13,MATCH(B24,'Piano del test'!$A$5:$A$13,0)),"blocco al totem",IF(OR(N('Test Completo'!M24)&gt;'Piano del test'!$C$19,N('Test Completo'!H24)&gt;'Piano del test'!$C$20),"oltre le soglie","riuscita"))))))</f>
        <v>riuscita</v>
      </c>
      <c r="J24" s="27">
        <f t="shared" si="0"/>
        <v>33.200000000000003</v>
      </c>
    </row>
    <row r="25" spans="1:10" x14ac:dyDescent="0.45">
      <c r="A25" s="25">
        <f>'Test Completo'!A25</f>
        <v>1320</v>
      </c>
      <c r="B25" s="2" t="str">
        <f>IFERROR(INDEX('Piano del test'!$A$5:$A$13,MATCH('Test Completo'!B25&amp;"|"&amp;'Test Completo'!C25&amp;"|"&amp;'Test Completo'!D25&amp;"|"&amp;'Test Completo'!E25,'Piano del test'!$R$5:$R$13,0)),"?")</f>
        <v>T6</v>
      </c>
      <c r="C25" s="25">
        <f>'Test Completo'!G25</f>
        <v>6</v>
      </c>
      <c r="D25" s="26">
        <f>IF('Test Completo'!M25="","",'Test Completo'!M25)</f>
        <v>33.32</v>
      </c>
      <c r="E25" s="25">
        <f>IF('Test Completo'!I25="","",'Test Completo'!I25)</f>
        <v>1</v>
      </c>
      <c r="F25" s="26">
        <f>IF('Test Completo'!H25="","",'Test Completo'!H25)</f>
        <v>3.38</v>
      </c>
      <c r="G25" s="26">
        <f>IF('Test Completo'!L25="","",'Test Completo'!L25)</f>
        <v>8.7200000000000006</v>
      </c>
      <c r="H25" s="26">
        <f>IF('Test Completo'!T25="","",'Test Completo'!T25)</f>
        <v>6.48</v>
      </c>
      <c r="I25" s="2" t="str">
        <f>IF('Test Completo'!M25="","non eseguita",IF(N('Test Completo'!M25)=0,"timeout",IF(OR(N('Test Completo'!H25)&lt;0,N('Test Completo'!L25)&lt;0),"tempi negativi",IF(N('Test Completo'!I25)&lt;1,"NavMesh non attivato",IF(N('Test Completo'!T25)&gt;INDEX('Piano del test'!$N$5:$N$13,MATCH(B25,'Piano del test'!$A$5:$A$13,0)),"blocco al totem",IF(OR(N('Test Completo'!M25)&gt;'Piano del test'!$C$19,N('Test Completo'!H25)&gt;'Piano del test'!$C$20),"oltre le soglie","riuscita"))))))</f>
        <v>riuscita</v>
      </c>
      <c r="J25" s="27">
        <f t="shared" si="0"/>
        <v>33.32</v>
      </c>
    </row>
    <row r="26" spans="1:10" x14ac:dyDescent="0.45">
      <c r="A26" s="25">
        <f>'Test Completo'!A26</f>
        <v>1321</v>
      </c>
      <c r="B26" s="2" t="str">
        <f>IFERROR(INDEX('Piano del test'!$A$5:$A$13,MATCH('Test Completo'!B26&amp;"|"&amp;'Test Completo'!C26&amp;"|"&amp;'Test Completo'!D26&amp;"|"&amp;'Test Completo'!E26,'Piano del test'!$R$5:$R$13,0)),"?")</f>
        <v>T7</v>
      </c>
      <c r="C26" s="25">
        <f>'Test Completo'!G26</f>
        <v>6</v>
      </c>
      <c r="D26" s="26">
        <f>IF('Test Completo'!M26="","",'Test Completo'!M26)</f>
        <v>36.96</v>
      </c>
      <c r="E26" s="25">
        <f>IF('Test Completo'!I26="","",'Test Completo'!I26)</f>
        <v>1</v>
      </c>
      <c r="F26" s="26">
        <f>IF('Test Completo'!H26="","",'Test Completo'!H26)</f>
        <v>1.72</v>
      </c>
      <c r="G26" s="26">
        <f>IF('Test Completo'!L26="","",'Test Completo'!L26)</f>
        <v>9.66</v>
      </c>
      <c r="H26" s="26">
        <f>IF('Test Completo'!T26="","",'Test Completo'!T26)</f>
        <v>4.82</v>
      </c>
      <c r="I26" s="2" t="str">
        <f>IF('Test Completo'!M26="","non eseguita",IF(N('Test Completo'!M26)=0,"timeout",IF(OR(N('Test Completo'!H26)&lt;0,N('Test Completo'!L26)&lt;0),"tempi negativi",IF(N('Test Completo'!I26)&lt;1,"NavMesh non attivato",IF(N('Test Completo'!T26)&gt;INDEX('Piano del test'!$N$5:$N$13,MATCH(B26,'Piano del test'!$A$5:$A$13,0)),"blocco al totem",IF(OR(N('Test Completo'!M26)&gt;'Piano del test'!$C$19,N('Test Completo'!H26)&gt;'Piano del test'!$C$20),"oltre le soglie","riuscita"))))))</f>
        <v>riuscita</v>
      </c>
      <c r="J26" s="27">
        <f t="shared" si="0"/>
        <v>36.96</v>
      </c>
    </row>
    <row r="27" spans="1:10" x14ac:dyDescent="0.45">
      <c r="A27" s="25">
        <f>'Test Completo'!A27</f>
        <v>1322</v>
      </c>
      <c r="B27" s="2" t="str">
        <f>IFERROR(INDEX('Piano del test'!$A$5:$A$13,MATCH('Test Completo'!B27&amp;"|"&amp;'Test Completo'!C27&amp;"|"&amp;'Test Completo'!D27&amp;"|"&amp;'Test Completo'!E27,'Piano del test'!$R$5:$R$13,0)),"?")</f>
        <v>T8</v>
      </c>
      <c r="C27" s="25">
        <f>'Test Completo'!G27</f>
        <v>6</v>
      </c>
      <c r="D27" s="26">
        <f>IF('Test Completo'!M27="","",'Test Completo'!M27)</f>
        <v>28.58</v>
      </c>
      <c r="E27" s="25">
        <f>IF('Test Completo'!I27="","",'Test Completo'!I27)</f>
        <v>1</v>
      </c>
      <c r="F27" s="26">
        <f>IF('Test Completo'!H27="","",'Test Completo'!H27)</f>
        <v>3.58</v>
      </c>
      <c r="G27" s="26">
        <f>IF('Test Completo'!L27="","",'Test Completo'!L27)</f>
        <v>3.16</v>
      </c>
      <c r="H27" s="26">
        <f>IF('Test Completo'!T27="","",'Test Completo'!T27)</f>
        <v>0.98</v>
      </c>
      <c r="I27" s="2" t="str">
        <f>IF('Test Completo'!M27="","non eseguita",IF(N('Test Completo'!M27)=0,"timeout",IF(OR(N('Test Completo'!H27)&lt;0,N('Test Completo'!L27)&lt;0),"tempi negativi",IF(N('Test Completo'!I27)&lt;1,"NavMesh non attivato",IF(N('Test Completo'!T27)&gt;INDEX('Piano del test'!$N$5:$N$13,MATCH(B27,'Piano del test'!$A$5:$A$13,0)),"blocco al totem",IF(OR(N('Test Completo'!M27)&gt;'Piano del test'!$C$19,N('Test Completo'!H27)&gt;'Piano del test'!$C$20),"oltre le soglie","riuscita"))))))</f>
        <v>riuscita</v>
      </c>
      <c r="J27" s="27">
        <f t="shared" si="0"/>
        <v>28.58</v>
      </c>
    </row>
    <row r="28" spans="1:10" x14ac:dyDescent="0.45">
      <c r="A28" s="25">
        <f>'Test Completo'!A28</f>
        <v>1323</v>
      </c>
      <c r="B28" s="2" t="str">
        <f>IFERROR(INDEX('Piano del test'!$A$5:$A$13,MATCH('Test Completo'!B28&amp;"|"&amp;'Test Completo'!C28&amp;"|"&amp;'Test Completo'!D28&amp;"|"&amp;'Test Completo'!E28,'Piano del test'!$R$5:$R$13,0)),"?")</f>
        <v>T9</v>
      </c>
      <c r="C28" s="25">
        <f>'Test Completo'!G28</f>
        <v>6</v>
      </c>
      <c r="D28" s="26">
        <f>IF('Test Completo'!M28="","",'Test Completo'!M28)</f>
        <v>35.5</v>
      </c>
      <c r="E28" s="25">
        <f>IF('Test Completo'!I28="","",'Test Completo'!I28)</f>
        <v>1</v>
      </c>
      <c r="F28" s="26">
        <f>IF('Test Completo'!H28="","",'Test Completo'!H28)</f>
        <v>1.76</v>
      </c>
      <c r="G28" s="26">
        <f>IF('Test Completo'!L28="","",'Test Completo'!L28)</f>
        <v>5.12</v>
      </c>
      <c r="H28" s="26">
        <f>IF('Test Completo'!T28="","",'Test Completo'!T28)</f>
        <v>2.1</v>
      </c>
      <c r="I28" s="2" t="str">
        <f>IF('Test Completo'!M28="","non eseguita",IF(N('Test Completo'!M28)=0,"timeout",IF(OR(N('Test Completo'!H28)&lt;0,N('Test Completo'!L28)&lt;0),"tempi negativi",IF(N('Test Completo'!I28)&lt;1,"NavMesh non attivato",IF(N('Test Completo'!T28)&gt;INDEX('Piano del test'!$N$5:$N$13,MATCH(B28,'Piano del test'!$A$5:$A$13,0)),"blocco al totem",IF(OR(N('Test Completo'!M28)&gt;'Piano del test'!$C$19,N('Test Completo'!H28)&gt;'Piano del test'!$C$20),"oltre le soglie","riuscita"))))))</f>
        <v>riuscita</v>
      </c>
      <c r="J28" s="27">
        <f t="shared" si="0"/>
        <v>35.5</v>
      </c>
    </row>
    <row r="29" spans="1:10" x14ac:dyDescent="0.45">
      <c r="A29" s="25">
        <f>'Test Completo'!A29</f>
        <v>1324</v>
      </c>
      <c r="B29" s="2" t="str">
        <f>IFERROR(INDEX('Piano del test'!$A$5:$A$13,MATCH('Test Completo'!B29&amp;"|"&amp;'Test Completo'!C29&amp;"|"&amp;'Test Completo'!D29&amp;"|"&amp;'Test Completo'!E29,'Piano del test'!$R$5:$R$13,0)),"?")</f>
        <v>T1</v>
      </c>
      <c r="C29" s="25">
        <f>'Test Completo'!G29</f>
        <v>7</v>
      </c>
      <c r="D29" s="26">
        <f>IF('Test Completo'!M29="","",'Test Completo'!M29)</f>
        <v>0</v>
      </c>
      <c r="E29" s="25">
        <f>IF('Test Completo'!I29="","",'Test Completo'!I29)</f>
        <v>0</v>
      </c>
      <c r="F29" s="26">
        <f>IF('Test Completo'!H29="","",'Test Completo'!H29)</f>
        <v>0</v>
      </c>
      <c r="G29" s="26">
        <f>IF('Test Completo'!L29="","",'Test Completo'!L29)</f>
        <v>0</v>
      </c>
      <c r="H29" s="26">
        <f>IF('Test Completo'!T29="","",'Test Completo'!T29)</f>
        <v>0</v>
      </c>
      <c r="I29" s="2" t="str">
        <f>IF('Test Completo'!M29="","non eseguita",IF(N('Test Completo'!M29)=0,"timeout",IF(OR(N('Test Completo'!H29)&lt;0,N('Test Completo'!L29)&lt;0),"tempi negativi",IF(N('Test Completo'!I29)&lt;1,"NavMesh non attivato",IF(N('Test Completo'!T29)&gt;INDEX('Piano del test'!$N$5:$N$13,MATCH(B29,'Piano del test'!$A$5:$A$13,0)),"blocco al totem",IF(OR(N('Test Completo'!M29)&gt;'Piano del test'!$C$19,N('Test Completo'!H29)&gt;'Piano del test'!$C$20),"oltre le soglie","riuscita"))))))</f>
        <v>timeout</v>
      </c>
      <c r="J29" s="27">
        <f t="shared" si="0"/>
        <v>0</v>
      </c>
    </row>
    <row r="30" spans="1:10" x14ac:dyDescent="0.45">
      <c r="A30" s="25">
        <f>'Test Completo'!A30</f>
        <v>1325</v>
      </c>
      <c r="B30" s="2" t="str">
        <f>IFERROR(INDEX('Piano del test'!$A$5:$A$13,MATCH('Test Completo'!B30&amp;"|"&amp;'Test Completo'!C30&amp;"|"&amp;'Test Completo'!D30&amp;"|"&amp;'Test Completo'!E30,'Piano del test'!$R$5:$R$13,0)),"?")</f>
        <v>T2</v>
      </c>
      <c r="C30" s="25">
        <f>'Test Completo'!G30</f>
        <v>7</v>
      </c>
      <c r="D30" s="26">
        <f>IF('Test Completo'!M30="","",'Test Completo'!M30)</f>
        <v>26.12</v>
      </c>
      <c r="E30" s="25">
        <f>IF('Test Completo'!I30="","",'Test Completo'!I30)</f>
        <v>1</v>
      </c>
      <c r="F30" s="26">
        <f>IF('Test Completo'!H30="","",'Test Completo'!H30)</f>
        <v>3.18</v>
      </c>
      <c r="G30" s="26">
        <f>IF('Test Completo'!L30="","",'Test Completo'!L30)</f>
        <v>3.26</v>
      </c>
      <c r="H30" s="26">
        <f>IF('Test Completo'!T30="","",'Test Completo'!T30)</f>
        <v>1.02</v>
      </c>
      <c r="I30" s="2" t="str">
        <f>IF('Test Completo'!M30="","non eseguita",IF(N('Test Completo'!M30)=0,"timeout",IF(OR(N('Test Completo'!H30)&lt;0,N('Test Completo'!L30)&lt;0),"tempi negativi",IF(N('Test Completo'!I30)&lt;1,"NavMesh non attivato",IF(N('Test Completo'!T30)&gt;INDEX('Piano del test'!$N$5:$N$13,MATCH(B30,'Piano del test'!$A$5:$A$13,0)),"blocco al totem",IF(OR(N('Test Completo'!M30)&gt;'Piano del test'!$C$19,N('Test Completo'!H30)&gt;'Piano del test'!$C$20),"oltre le soglie","riuscita"))))))</f>
        <v>riuscita</v>
      </c>
      <c r="J30" s="27">
        <f t="shared" si="0"/>
        <v>26.12</v>
      </c>
    </row>
    <row r="31" spans="1:10" x14ac:dyDescent="0.45">
      <c r="A31" s="25">
        <f>'Test Completo'!A31</f>
        <v>1326</v>
      </c>
      <c r="B31" s="2" t="str">
        <f>IFERROR(INDEX('Piano del test'!$A$5:$A$13,MATCH('Test Completo'!B31&amp;"|"&amp;'Test Completo'!C31&amp;"|"&amp;'Test Completo'!D31&amp;"|"&amp;'Test Completo'!E31,'Piano del test'!$R$5:$R$13,0)),"?")</f>
        <v>T3</v>
      </c>
      <c r="C31" s="25">
        <f>'Test Completo'!G31</f>
        <v>7</v>
      </c>
      <c r="D31" s="26">
        <f>IF('Test Completo'!M31="","",'Test Completo'!M31)</f>
        <v>32.08</v>
      </c>
      <c r="E31" s="25">
        <f>IF('Test Completo'!I31="","",'Test Completo'!I31)</f>
        <v>1</v>
      </c>
      <c r="F31" s="26">
        <f>IF('Test Completo'!H31="","",'Test Completo'!H31)</f>
        <v>1.6</v>
      </c>
      <c r="G31" s="26">
        <f>IF('Test Completo'!L31="","",'Test Completo'!L31)</f>
        <v>9.6999999999999993</v>
      </c>
      <c r="H31" s="26">
        <f>IF('Test Completo'!T31="","",'Test Completo'!T31)</f>
        <v>4.8600000000000003</v>
      </c>
      <c r="I31" s="2" t="str">
        <f>IF('Test Completo'!M31="","non eseguita",IF(N('Test Completo'!M31)=0,"timeout",IF(OR(N('Test Completo'!H31)&lt;0,N('Test Completo'!L31)&lt;0),"tempi negativi",IF(N('Test Completo'!I31)&lt;1,"NavMesh non attivato",IF(N('Test Completo'!T31)&gt;INDEX('Piano del test'!$N$5:$N$13,MATCH(B31,'Piano del test'!$A$5:$A$13,0)),"blocco al totem",IF(OR(N('Test Completo'!M31)&gt;'Piano del test'!$C$19,N('Test Completo'!H31)&gt;'Piano del test'!$C$20),"oltre le soglie","riuscita"))))))</f>
        <v>riuscita</v>
      </c>
      <c r="J31" s="27">
        <f t="shared" si="0"/>
        <v>32.08</v>
      </c>
    </row>
    <row r="32" spans="1:10" x14ac:dyDescent="0.45">
      <c r="A32" s="25">
        <f>'Test Completo'!A32</f>
        <v>1327</v>
      </c>
      <c r="B32" s="2" t="str">
        <f>IFERROR(INDEX('Piano del test'!$A$5:$A$13,MATCH('Test Completo'!B32&amp;"|"&amp;'Test Completo'!C32&amp;"|"&amp;'Test Completo'!D32&amp;"|"&amp;'Test Completo'!E32,'Piano del test'!$R$5:$R$13,0)),"?")</f>
        <v>T4</v>
      </c>
      <c r="C32" s="25">
        <f>'Test Completo'!G32</f>
        <v>7</v>
      </c>
      <c r="D32" s="26">
        <f>IF('Test Completo'!M32="","",'Test Completo'!M32)</f>
        <v>33.159999999999997</v>
      </c>
      <c r="E32" s="25">
        <f>IF('Test Completo'!I32="","",'Test Completo'!I32)</f>
        <v>1</v>
      </c>
      <c r="F32" s="26">
        <f>IF('Test Completo'!H32="","",'Test Completo'!H32)</f>
        <v>1.1000000000000001</v>
      </c>
      <c r="G32" s="26">
        <f>IF('Test Completo'!L32="","",'Test Completo'!L32)</f>
        <v>9.5</v>
      </c>
      <c r="H32" s="26">
        <f>IF('Test Completo'!T32="","",'Test Completo'!T32)</f>
        <v>4.78</v>
      </c>
      <c r="I32" s="2" t="str">
        <f>IF('Test Completo'!M32="","non eseguita",IF(N('Test Completo'!M32)=0,"timeout",IF(OR(N('Test Completo'!H32)&lt;0,N('Test Completo'!L32)&lt;0),"tempi negativi",IF(N('Test Completo'!I32)&lt;1,"NavMesh non attivato",IF(N('Test Completo'!T32)&gt;INDEX('Piano del test'!$N$5:$N$13,MATCH(B32,'Piano del test'!$A$5:$A$13,0)),"blocco al totem",IF(OR(N('Test Completo'!M32)&gt;'Piano del test'!$C$19,N('Test Completo'!H32)&gt;'Piano del test'!$C$20),"oltre le soglie","riuscita"))))))</f>
        <v>riuscita</v>
      </c>
      <c r="J32" s="27">
        <f t="shared" si="0"/>
        <v>33.159999999999997</v>
      </c>
    </row>
    <row r="33" spans="1:10" x14ac:dyDescent="0.45">
      <c r="A33" s="25">
        <f>'Test Completo'!A33</f>
        <v>1328</v>
      </c>
      <c r="B33" s="2" t="str">
        <f>IFERROR(INDEX('Piano del test'!$A$5:$A$13,MATCH('Test Completo'!B33&amp;"|"&amp;'Test Completo'!C33&amp;"|"&amp;'Test Completo'!D33&amp;"|"&amp;'Test Completo'!E33,'Piano del test'!$R$5:$R$13,0)),"?")</f>
        <v>T5</v>
      </c>
      <c r="C33" s="25">
        <f>'Test Completo'!G33</f>
        <v>7</v>
      </c>
      <c r="D33" s="26">
        <f>IF('Test Completo'!M33="","",'Test Completo'!M33)</f>
        <v>31.78</v>
      </c>
      <c r="E33" s="25">
        <f>IF('Test Completo'!I33="","",'Test Completo'!I33)</f>
        <v>1</v>
      </c>
      <c r="F33" s="26">
        <f>IF('Test Completo'!H33="","",'Test Completo'!H33)</f>
        <v>1.34</v>
      </c>
      <c r="G33" s="26">
        <f>IF('Test Completo'!L33="","",'Test Completo'!L33)</f>
        <v>9.7200000000000006</v>
      </c>
      <c r="H33" s="26">
        <f>IF('Test Completo'!T33="","",'Test Completo'!T33)</f>
        <v>4.9000000000000004</v>
      </c>
      <c r="I33" s="2" t="str">
        <f>IF('Test Completo'!M33="","non eseguita",IF(N('Test Completo'!M33)=0,"timeout",IF(OR(N('Test Completo'!H33)&lt;0,N('Test Completo'!L33)&lt;0),"tempi negativi",IF(N('Test Completo'!I33)&lt;1,"NavMesh non attivato",IF(N('Test Completo'!T33)&gt;INDEX('Piano del test'!$N$5:$N$13,MATCH(B33,'Piano del test'!$A$5:$A$13,0)),"blocco al totem",IF(OR(N('Test Completo'!M33)&gt;'Piano del test'!$C$19,N('Test Completo'!H33)&gt;'Piano del test'!$C$20),"oltre le soglie","riuscita"))))))</f>
        <v>riuscita</v>
      </c>
      <c r="J33" s="27">
        <f t="shared" si="0"/>
        <v>31.78</v>
      </c>
    </row>
    <row r="34" spans="1:10" x14ac:dyDescent="0.45">
      <c r="A34" s="25">
        <f>'Test Completo'!A34</f>
        <v>1329</v>
      </c>
      <c r="B34" s="2" t="str">
        <f>IFERROR(INDEX('Piano del test'!$A$5:$A$13,MATCH('Test Completo'!B34&amp;"|"&amp;'Test Completo'!C34&amp;"|"&amp;'Test Completo'!D34&amp;"|"&amp;'Test Completo'!E34,'Piano del test'!$R$5:$R$13,0)),"?")</f>
        <v>T6</v>
      </c>
      <c r="C34" s="25">
        <f>'Test Completo'!G34</f>
        <v>7</v>
      </c>
      <c r="D34" s="26">
        <f>IF('Test Completo'!M34="","",'Test Completo'!M34)</f>
        <v>35.94</v>
      </c>
      <c r="E34" s="25">
        <f>IF('Test Completo'!I34="","",'Test Completo'!I34)</f>
        <v>1</v>
      </c>
      <c r="F34" s="26">
        <f>IF('Test Completo'!H34="","",'Test Completo'!H34)</f>
        <v>3.26</v>
      </c>
      <c r="G34" s="26">
        <f>IF('Test Completo'!L34="","",'Test Completo'!L34)</f>
        <v>9.9</v>
      </c>
      <c r="H34" s="26">
        <f>IF('Test Completo'!T34="","",'Test Completo'!T34)</f>
        <v>7.6</v>
      </c>
      <c r="I34" s="2" t="str">
        <f>IF('Test Completo'!M34="","non eseguita",IF(N('Test Completo'!M34)=0,"timeout",IF(OR(N('Test Completo'!H34)&lt;0,N('Test Completo'!L34)&lt;0),"tempi negativi",IF(N('Test Completo'!I34)&lt;1,"NavMesh non attivato",IF(N('Test Completo'!T34)&gt;INDEX('Piano del test'!$N$5:$N$13,MATCH(B34,'Piano del test'!$A$5:$A$13,0)),"blocco al totem",IF(OR(N('Test Completo'!M34)&gt;'Piano del test'!$C$19,N('Test Completo'!H34)&gt;'Piano del test'!$C$20),"oltre le soglie","riuscita"))))))</f>
        <v>riuscita</v>
      </c>
      <c r="J34" s="27">
        <f t="shared" ref="J34:J65" si="1">IF(I34="riuscita",D34,0)</f>
        <v>35.94</v>
      </c>
    </row>
    <row r="35" spans="1:10" x14ac:dyDescent="0.45">
      <c r="A35" s="25">
        <f>'Test Completo'!A35</f>
        <v>1330</v>
      </c>
      <c r="B35" s="2" t="str">
        <f>IFERROR(INDEX('Piano del test'!$A$5:$A$13,MATCH('Test Completo'!B35&amp;"|"&amp;'Test Completo'!C35&amp;"|"&amp;'Test Completo'!D35&amp;"|"&amp;'Test Completo'!E35,'Piano del test'!$R$5:$R$13,0)),"?")</f>
        <v>T7</v>
      </c>
      <c r="C35" s="25">
        <f>'Test Completo'!G35</f>
        <v>7</v>
      </c>
      <c r="D35" s="26">
        <f>IF('Test Completo'!M35="","",'Test Completo'!M35)</f>
        <v>29</v>
      </c>
      <c r="E35" s="25">
        <f>IF('Test Completo'!I35="","",'Test Completo'!I35)</f>
        <v>1</v>
      </c>
      <c r="F35" s="26">
        <f>IF('Test Completo'!H35="","",'Test Completo'!H35)</f>
        <v>1.5</v>
      </c>
      <c r="G35" s="26">
        <f>IF('Test Completo'!L35="","",'Test Completo'!L35)</f>
        <v>9.6</v>
      </c>
      <c r="H35" s="26">
        <f>IF('Test Completo'!T35="","",'Test Completo'!T35)</f>
        <v>4.8600000000000003</v>
      </c>
      <c r="I35" s="2" t="str">
        <f>IF('Test Completo'!M35="","non eseguita",IF(N('Test Completo'!M35)=0,"timeout",IF(OR(N('Test Completo'!H35)&lt;0,N('Test Completo'!L35)&lt;0),"tempi negativi",IF(N('Test Completo'!I35)&lt;1,"NavMesh non attivato",IF(N('Test Completo'!T35)&gt;INDEX('Piano del test'!$N$5:$N$13,MATCH(B35,'Piano del test'!$A$5:$A$13,0)),"blocco al totem",IF(OR(N('Test Completo'!M35)&gt;'Piano del test'!$C$19,N('Test Completo'!H35)&gt;'Piano del test'!$C$20),"oltre le soglie","riuscita"))))))</f>
        <v>riuscita</v>
      </c>
      <c r="J35" s="27">
        <f t="shared" si="1"/>
        <v>29</v>
      </c>
    </row>
    <row r="36" spans="1:10" x14ac:dyDescent="0.45">
      <c r="A36" s="25">
        <f>'Test Completo'!A36</f>
        <v>1331</v>
      </c>
      <c r="B36" s="2" t="str">
        <f>IFERROR(INDEX('Piano del test'!$A$5:$A$13,MATCH('Test Completo'!B36&amp;"|"&amp;'Test Completo'!C36&amp;"|"&amp;'Test Completo'!D36&amp;"|"&amp;'Test Completo'!E36,'Piano del test'!$R$5:$R$13,0)),"?")</f>
        <v>T8</v>
      </c>
      <c r="C36" s="25">
        <f>'Test Completo'!G36</f>
        <v>7</v>
      </c>
      <c r="D36" s="26">
        <f>IF('Test Completo'!M36="","",'Test Completo'!M36)</f>
        <v>26.24</v>
      </c>
      <c r="E36" s="25">
        <f>IF('Test Completo'!I36="","",'Test Completo'!I36)</f>
        <v>1</v>
      </c>
      <c r="F36" s="26">
        <f>IF('Test Completo'!H36="","",'Test Completo'!H36)</f>
        <v>3.18</v>
      </c>
      <c r="G36" s="26">
        <f>IF('Test Completo'!L36="","",'Test Completo'!L36)</f>
        <v>3.28</v>
      </c>
      <c r="H36" s="26">
        <f>IF('Test Completo'!T36="","",'Test Completo'!T36)</f>
        <v>1.02</v>
      </c>
      <c r="I36" s="2" t="str">
        <f>IF('Test Completo'!M36="","non eseguita",IF(N('Test Completo'!M36)=0,"timeout",IF(OR(N('Test Completo'!H36)&lt;0,N('Test Completo'!L36)&lt;0),"tempi negativi",IF(N('Test Completo'!I36)&lt;1,"NavMesh non attivato",IF(N('Test Completo'!T36)&gt;INDEX('Piano del test'!$N$5:$N$13,MATCH(B36,'Piano del test'!$A$5:$A$13,0)),"blocco al totem",IF(OR(N('Test Completo'!M36)&gt;'Piano del test'!$C$19,N('Test Completo'!H36)&gt;'Piano del test'!$C$20),"oltre le soglie","riuscita"))))))</f>
        <v>riuscita</v>
      </c>
      <c r="J36" s="27">
        <f t="shared" si="1"/>
        <v>26.24</v>
      </c>
    </row>
    <row r="37" spans="1:10" x14ac:dyDescent="0.45">
      <c r="A37" s="25">
        <f>'Test Completo'!A37</f>
        <v>1332</v>
      </c>
      <c r="B37" s="2" t="str">
        <f>IFERROR(INDEX('Piano del test'!$A$5:$A$13,MATCH('Test Completo'!B37&amp;"|"&amp;'Test Completo'!C37&amp;"|"&amp;'Test Completo'!D37&amp;"|"&amp;'Test Completo'!E37,'Piano del test'!$R$5:$R$13,0)),"?")</f>
        <v>T9</v>
      </c>
      <c r="C37" s="25">
        <f>'Test Completo'!G37</f>
        <v>7</v>
      </c>
      <c r="D37" s="26">
        <f>IF('Test Completo'!M37="","",'Test Completo'!M37)</f>
        <v>31.2</v>
      </c>
      <c r="E37" s="25">
        <f>IF('Test Completo'!I37="","",'Test Completo'!I37)</f>
        <v>1</v>
      </c>
      <c r="F37" s="26">
        <f>IF('Test Completo'!H37="","",'Test Completo'!H37)</f>
        <v>1.82</v>
      </c>
      <c r="G37" s="26">
        <f>IF('Test Completo'!L37="","",'Test Completo'!L37)</f>
        <v>5.04</v>
      </c>
      <c r="H37" s="26">
        <f>IF('Test Completo'!T37="","",'Test Completo'!T37)</f>
        <v>2.04</v>
      </c>
      <c r="I37" s="2" t="str">
        <f>IF('Test Completo'!M37="","non eseguita",IF(N('Test Completo'!M37)=0,"timeout",IF(OR(N('Test Completo'!H37)&lt;0,N('Test Completo'!L37)&lt;0),"tempi negativi",IF(N('Test Completo'!I37)&lt;1,"NavMesh non attivato",IF(N('Test Completo'!T37)&gt;INDEX('Piano del test'!$N$5:$N$13,MATCH(B37,'Piano del test'!$A$5:$A$13,0)),"blocco al totem",IF(OR(N('Test Completo'!M37)&gt;'Piano del test'!$C$19,N('Test Completo'!H37)&gt;'Piano del test'!$C$20),"oltre le soglie","riuscita"))))))</f>
        <v>riuscita</v>
      </c>
      <c r="J37" s="27">
        <f t="shared" si="1"/>
        <v>31.2</v>
      </c>
    </row>
    <row r="38" spans="1:10" x14ac:dyDescent="0.45">
      <c r="A38" s="25">
        <f>'Test Completo'!A38</f>
        <v>1333</v>
      </c>
      <c r="B38" s="2" t="str">
        <f>IFERROR(INDEX('Piano del test'!$A$5:$A$13,MATCH('Test Completo'!B38&amp;"|"&amp;'Test Completo'!C38&amp;"|"&amp;'Test Completo'!D38&amp;"|"&amp;'Test Completo'!E38,'Piano del test'!$R$5:$R$13,0)),"?")</f>
        <v>T1</v>
      </c>
      <c r="C38" s="25">
        <f>'Test Completo'!G38</f>
        <v>8</v>
      </c>
      <c r="D38" s="26">
        <f>IF('Test Completo'!M38="","",'Test Completo'!M38)</f>
        <v>34.159999999999997</v>
      </c>
      <c r="E38" s="25">
        <f>IF('Test Completo'!I38="","",'Test Completo'!I38)</f>
        <v>1</v>
      </c>
      <c r="F38" s="26">
        <f>IF('Test Completo'!H38="","",'Test Completo'!H38)</f>
        <v>3.34</v>
      </c>
      <c r="G38" s="26">
        <f>IF('Test Completo'!L38="","",'Test Completo'!L38)</f>
        <v>9.84</v>
      </c>
      <c r="H38" s="26">
        <f>IF('Test Completo'!T38="","",'Test Completo'!T38)</f>
        <v>7.6</v>
      </c>
      <c r="I38" s="2" t="str">
        <f>IF('Test Completo'!M38="","non eseguita",IF(N('Test Completo'!M38)=0,"timeout",IF(OR(N('Test Completo'!H38)&lt;0,N('Test Completo'!L38)&lt;0),"tempi negativi",IF(N('Test Completo'!I38)&lt;1,"NavMesh non attivato",IF(N('Test Completo'!T38)&gt;INDEX('Piano del test'!$N$5:$N$13,MATCH(B38,'Piano del test'!$A$5:$A$13,0)),"blocco al totem",IF(OR(N('Test Completo'!M38)&gt;'Piano del test'!$C$19,N('Test Completo'!H38)&gt;'Piano del test'!$C$20),"oltre le soglie","riuscita"))))))</f>
        <v>riuscita</v>
      </c>
      <c r="J38" s="27">
        <f t="shared" si="1"/>
        <v>34.159999999999997</v>
      </c>
    </row>
    <row r="39" spans="1:10" x14ac:dyDescent="0.45">
      <c r="A39" s="25">
        <f>'Test Completo'!A39</f>
        <v>1334</v>
      </c>
      <c r="B39" s="2" t="str">
        <f>IFERROR(INDEX('Piano del test'!$A$5:$A$13,MATCH('Test Completo'!B39&amp;"|"&amp;'Test Completo'!C39&amp;"|"&amp;'Test Completo'!D39&amp;"|"&amp;'Test Completo'!E39,'Piano del test'!$R$5:$R$13,0)),"?")</f>
        <v>T2</v>
      </c>
      <c r="C39" s="25">
        <f>'Test Completo'!G39</f>
        <v>8</v>
      </c>
      <c r="D39" s="26">
        <f>IF('Test Completo'!M39="","",'Test Completo'!M39)</f>
        <v>53.78</v>
      </c>
      <c r="E39" s="25">
        <f>IF('Test Completo'!I39="","",'Test Completo'!I39)</f>
        <v>1</v>
      </c>
      <c r="F39" s="26">
        <f>IF('Test Completo'!H39="","",'Test Completo'!H39)</f>
        <v>3.22</v>
      </c>
      <c r="G39" s="26">
        <f>IF('Test Completo'!L39="","",'Test Completo'!L39)</f>
        <v>29.92</v>
      </c>
      <c r="H39" s="26">
        <f>IF('Test Completo'!T39="","",'Test Completo'!T39)</f>
        <v>27.66</v>
      </c>
      <c r="I39" s="2" t="str">
        <f>IF('Test Completo'!M39="","non eseguita",IF(N('Test Completo'!M39)=0,"timeout",IF(OR(N('Test Completo'!H39)&lt;0,N('Test Completo'!L39)&lt;0),"tempi negativi",IF(N('Test Completo'!I39)&lt;1,"NavMesh non attivato",IF(N('Test Completo'!T39)&gt;INDEX('Piano del test'!$N$5:$N$13,MATCH(B39,'Piano del test'!$A$5:$A$13,0)),"blocco al totem",IF(OR(N('Test Completo'!M39)&gt;'Piano del test'!$C$19,N('Test Completo'!H39)&gt;'Piano del test'!$C$20),"oltre le soglie","riuscita"))))))</f>
        <v>blocco al totem</v>
      </c>
      <c r="J39" s="27">
        <f t="shared" si="1"/>
        <v>0</v>
      </c>
    </row>
    <row r="40" spans="1:10" x14ac:dyDescent="0.45">
      <c r="A40" s="25">
        <f>'Test Completo'!A40</f>
        <v>1335</v>
      </c>
      <c r="B40" s="2" t="str">
        <f>IFERROR(INDEX('Piano del test'!$A$5:$A$13,MATCH('Test Completo'!B40&amp;"|"&amp;'Test Completo'!C40&amp;"|"&amp;'Test Completo'!D40&amp;"|"&amp;'Test Completo'!E40,'Piano del test'!$R$5:$R$13,0)),"?")</f>
        <v>T3</v>
      </c>
      <c r="C40" s="25">
        <f>'Test Completo'!G40</f>
        <v>8</v>
      </c>
      <c r="D40" s="26">
        <f>IF('Test Completo'!M40="","",'Test Completo'!M40)</f>
        <v>38.68</v>
      </c>
      <c r="E40" s="25">
        <f>IF('Test Completo'!I40="","",'Test Completo'!I40)</f>
        <v>1</v>
      </c>
      <c r="F40" s="26">
        <f>IF('Test Completo'!H40="","",'Test Completo'!H40)</f>
        <v>1.62</v>
      </c>
      <c r="G40" s="26">
        <f>IF('Test Completo'!L40="","",'Test Completo'!L40)</f>
        <v>9.52</v>
      </c>
      <c r="H40" s="26">
        <f>IF('Test Completo'!T40="","",'Test Completo'!T40)</f>
        <v>4.8</v>
      </c>
      <c r="I40" s="2" t="str">
        <f>IF('Test Completo'!M40="","non eseguita",IF(N('Test Completo'!M40)=0,"timeout",IF(OR(N('Test Completo'!H40)&lt;0,N('Test Completo'!L40)&lt;0),"tempi negativi",IF(N('Test Completo'!I40)&lt;1,"NavMesh non attivato",IF(N('Test Completo'!T40)&gt;INDEX('Piano del test'!$N$5:$N$13,MATCH(B40,'Piano del test'!$A$5:$A$13,0)),"blocco al totem",IF(OR(N('Test Completo'!M40)&gt;'Piano del test'!$C$19,N('Test Completo'!H40)&gt;'Piano del test'!$C$20),"oltre le soglie","riuscita"))))))</f>
        <v>riuscita</v>
      </c>
      <c r="J40" s="27">
        <f t="shared" si="1"/>
        <v>38.68</v>
      </c>
    </row>
    <row r="41" spans="1:10" x14ac:dyDescent="0.45">
      <c r="A41" s="25">
        <f>'Test Completo'!A41</f>
        <v>1336</v>
      </c>
      <c r="B41" s="2" t="str">
        <f>IFERROR(INDEX('Piano del test'!$A$5:$A$13,MATCH('Test Completo'!B41&amp;"|"&amp;'Test Completo'!C41&amp;"|"&amp;'Test Completo'!D41&amp;"|"&amp;'Test Completo'!E41,'Piano del test'!$R$5:$R$13,0)),"?")</f>
        <v>T4</v>
      </c>
      <c r="C41" s="25">
        <f>'Test Completo'!G41</f>
        <v>8</v>
      </c>
      <c r="D41" s="26">
        <f>IF('Test Completo'!M41="","",'Test Completo'!M41)</f>
        <v>28.96</v>
      </c>
      <c r="E41" s="25">
        <f>IF('Test Completo'!I41="","",'Test Completo'!I41)</f>
        <v>1</v>
      </c>
      <c r="F41" s="26">
        <f>IF('Test Completo'!H41="","",'Test Completo'!H41)</f>
        <v>1.34</v>
      </c>
      <c r="G41" s="26">
        <f>IF('Test Completo'!L41="","",'Test Completo'!L41)</f>
        <v>9.66</v>
      </c>
      <c r="H41" s="26">
        <f>IF('Test Completo'!T41="","",'Test Completo'!T41)</f>
        <v>4.8600000000000003</v>
      </c>
      <c r="I41" s="2" t="str">
        <f>IF('Test Completo'!M41="","non eseguita",IF(N('Test Completo'!M41)=0,"timeout",IF(OR(N('Test Completo'!H41)&lt;0,N('Test Completo'!L41)&lt;0),"tempi negativi",IF(N('Test Completo'!I41)&lt;1,"NavMesh non attivato",IF(N('Test Completo'!T41)&gt;INDEX('Piano del test'!$N$5:$N$13,MATCH(B41,'Piano del test'!$A$5:$A$13,0)),"blocco al totem",IF(OR(N('Test Completo'!M41)&gt;'Piano del test'!$C$19,N('Test Completo'!H41)&gt;'Piano del test'!$C$20),"oltre le soglie","riuscita"))))))</f>
        <v>riuscita</v>
      </c>
      <c r="J41" s="27">
        <f t="shared" si="1"/>
        <v>28.96</v>
      </c>
    </row>
    <row r="42" spans="1:10" x14ac:dyDescent="0.45">
      <c r="A42" s="25">
        <f>'Test Completo'!A42</f>
        <v>1337</v>
      </c>
      <c r="B42" s="2" t="str">
        <f>IFERROR(INDEX('Piano del test'!$A$5:$A$13,MATCH('Test Completo'!B42&amp;"|"&amp;'Test Completo'!C42&amp;"|"&amp;'Test Completo'!D42&amp;"|"&amp;'Test Completo'!E42,'Piano del test'!$R$5:$R$13,0)),"?")</f>
        <v>T5</v>
      </c>
      <c r="C42" s="25">
        <f>'Test Completo'!G42</f>
        <v>8</v>
      </c>
      <c r="D42" s="26">
        <f>IF('Test Completo'!M42="","",'Test Completo'!M42)</f>
        <v>28.94</v>
      </c>
      <c r="E42" s="25">
        <f>IF('Test Completo'!I42="","",'Test Completo'!I42)</f>
        <v>1</v>
      </c>
      <c r="F42" s="26">
        <f>IF('Test Completo'!H42="","",'Test Completo'!H42)</f>
        <v>1.6</v>
      </c>
      <c r="G42" s="26">
        <f>IF('Test Completo'!L42="","",'Test Completo'!L42)</f>
        <v>9.64</v>
      </c>
      <c r="H42" s="26">
        <f>IF('Test Completo'!T42="","",'Test Completo'!T42)</f>
        <v>4.9000000000000004</v>
      </c>
      <c r="I42" s="2" t="str">
        <f>IF('Test Completo'!M42="","non eseguita",IF(N('Test Completo'!M42)=0,"timeout",IF(OR(N('Test Completo'!H42)&lt;0,N('Test Completo'!L42)&lt;0),"tempi negativi",IF(N('Test Completo'!I42)&lt;1,"NavMesh non attivato",IF(N('Test Completo'!T42)&gt;INDEX('Piano del test'!$N$5:$N$13,MATCH(B42,'Piano del test'!$A$5:$A$13,0)),"blocco al totem",IF(OR(N('Test Completo'!M42)&gt;'Piano del test'!$C$19,N('Test Completo'!H42)&gt;'Piano del test'!$C$20),"oltre le soglie","riuscita"))))))</f>
        <v>riuscita</v>
      </c>
      <c r="J42" s="27">
        <f t="shared" si="1"/>
        <v>28.94</v>
      </c>
    </row>
    <row r="43" spans="1:10" x14ac:dyDescent="0.45">
      <c r="A43" s="25">
        <f>'Test Completo'!A43</f>
        <v>1338</v>
      </c>
      <c r="B43" s="2" t="str">
        <f>IFERROR(INDEX('Piano del test'!$A$5:$A$13,MATCH('Test Completo'!B43&amp;"|"&amp;'Test Completo'!C43&amp;"|"&amp;'Test Completo'!D43&amp;"|"&amp;'Test Completo'!E43,'Piano del test'!$R$5:$R$13,0)),"?")</f>
        <v>T6</v>
      </c>
      <c r="C43" s="25">
        <f>'Test Completo'!G43</f>
        <v>8</v>
      </c>
      <c r="D43" s="26">
        <f>IF('Test Completo'!M43="","",'Test Completo'!M43)</f>
        <v>26.46</v>
      </c>
      <c r="E43" s="25">
        <f>IF('Test Completo'!I43="","",'Test Completo'!I43)</f>
        <v>1</v>
      </c>
      <c r="F43" s="26">
        <f>IF('Test Completo'!H43="","",'Test Completo'!H43)</f>
        <v>3.16</v>
      </c>
      <c r="G43" s="26">
        <f>IF('Test Completo'!L43="","",'Test Completo'!L43)</f>
        <v>3.3</v>
      </c>
      <c r="H43" s="26">
        <f>IF('Test Completo'!T43="","",'Test Completo'!T43)</f>
        <v>1.04</v>
      </c>
      <c r="I43" s="2" t="str">
        <f>IF('Test Completo'!M43="","non eseguita",IF(N('Test Completo'!M43)=0,"timeout",IF(OR(N('Test Completo'!H43)&lt;0,N('Test Completo'!L43)&lt;0),"tempi negativi",IF(N('Test Completo'!I43)&lt;1,"NavMesh non attivato",IF(N('Test Completo'!T43)&gt;INDEX('Piano del test'!$N$5:$N$13,MATCH(B43,'Piano del test'!$A$5:$A$13,0)),"blocco al totem",IF(OR(N('Test Completo'!M43)&gt;'Piano del test'!$C$19,N('Test Completo'!H43)&gt;'Piano del test'!$C$20),"oltre le soglie","riuscita"))))))</f>
        <v>riuscita</v>
      </c>
      <c r="J43" s="27">
        <f t="shared" si="1"/>
        <v>26.46</v>
      </c>
    </row>
    <row r="44" spans="1:10" x14ac:dyDescent="0.45">
      <c r="A44" s="25">
        <f>'Test Completo'!A44</f>
        <v>1339</v>
      </c>
      <c r="B44" s="2" t="str">
        <f>IFERROR(INDEX('Piano del test'!$A$5:$A$13,MATCH('Test Completo'!B44&amp;"|"&amp;'Test Completo'!C44&amp;"|"&amp;'Test Completo'!D44&amp;"|"&amp;'Test Completo'!E44,'Piano del test'!$R$5:$R$13,0)),"?")</f>
        <v>T7</v>
      </c>
      <c r="C44" s="25">
        <f>'Test Completo'!G44</f>
        <v>8</v>
      </c>
      <c r="D44" s="26">
        <f>IF('Test Completo'!M44="","",'Test Completo'!M44)</f>
        <v>29.2</v>
      </c>
      <c r="E44" s="25">
        <f>IF('Test Completo'!I44="","",'Test Completo'!I44)</f>
        <v>1</v>
      </c>
      <c r="F44" s="26">
        <f>IF('Test Completo'!H44="","",'Test Completo'!H44)</f>
        <v>1.72</v>
      </c>
      <c r="G44" s="26">
        <f>IF('Test Completo'!L44="","",'Test Completo'!L44)</f>
        <v>9.66</v>
      </c>
      <c r="H44" s="26">
        <f>IF('Test Completo'!T44="","",'Test Completo'!T44)</f>
        <v>4.78</v>
      </c>
      <c r="I44" s="2" t="str">
        <f>IF('Test Completo'!M44="","non eseguita",IF(N('Test Completo'!M44)=0,"timeout",IF(OR(N('Test Completo'!H44)&lt;0,N('Test Completo'!L44)&lt;0),"tempi negativi",IF(N('Test Completo'!I44)&lt;1,"NavMesh non attivato",IF(N('Test Completo'!T44)&gt;INDEX('Piano del test'!$N$5:$N$13,MATCH(B44,'Piano del test'!$A$5:$A$13,0)),"blocco al totem",IF(OR(N('Test Completo'!M44)&gt;'Piano del test'!$C$19,N('Test Completo'!H44)&gt;'Piano del test'!$C$20),"oltre le soglie","riuscita"))))))</f>
        <v>riuscita</v>
      </c>
      <c r="J44" s="27">
        <f t="shared" si="1"/>
        <v>29.2</v>
      </c>
    </row>
    <row r="45" spans="1:10" x14ac:dyDescent="0.45">
      <c r="A45" s="25">
        <f>'Test Completo'!A45</f>
        <v>1340</v>
      </c>
      <c r="B45" s="2" t="str">
        <f>IFERROR(INDEX('Piano del test'!$A$5:$A$13,MATCH('Test Completo'!B45&amp;"|"&amp;'Test Completo'!C45&amp;"|"&amp;'Test Completo'!D45&amp;"|"&amp;'Test Completo'!E45,'Piano del test'!$R$5:$R$13,0)),"?")</f>
        <v>T8</v>
      </c>
      <c r="C45" s="25">
        <f>'Test Completo'!G45</f>
        <v>8</v>
      </c>
      <c r="D45" s="26">
        <f>IF('Test Completo'!M45="","",'Test Completo'!M45)</f>
        <v>26.28</v>
      </c>
      <c r="E45" s="25">
        <f>IF('Test Completo'!I45="","",'Test Completo'!I45)</f>
        <v>1</v>
      </c>
      <c r="F45" s="26">
        <f>IF('Test Completo'!H45="","",'Test Completo'!H45)</f>
        <v>3.18</v>
      </c>
      <c r="G45" s="26">
        <f>IF('Test Completo'!L45="","",'Test Completo'!L45)</f>
        <v>3.28</v>
      </c>
      <c r="H45" s="26">
        <f>IF('Test Completo'!T45="","",'Test Completo'!T45)</f>
        <v>1.08</v>
      </c>
      <c r="I45" s="2" t="str">
        <f>IF('Test Completo'!M45="","non eseguita",IF(N('Test Completo'!M45)=0,"timeout",IF(OR(N('Test Completo'!H45)&lt;0,N('Test Completo'!L45)&lt;0),"tempi negativi",IF(N('Test Completo'!I45)&lt;1,"NavMesh non attivato",IF(N('Test Completo'!T45)&gt;INDEX('Piano del test'!$N$5:$N$13,MATCH(B45,'Piano del test'!$A$5:$A$13,0)),"blocco al totem",IF(OR(N('Test Completo'!M45)&gt;'Piano del test'!$C$19,N('Test Completo'!H45)&gt;'Piano del test'!$C$20),"oltre le soglie","riuscita"))))))</f>
        <v>riuscita</v>
      </c>
      <c r="J45" s="27">
        <f t="shared" si="1"/>
        <v>26.28</v>
      </c>
    </row>
    <row r="46" spans="1:10" x14ac:dyDescent="0.45">
      <c r="A46" s="25">
        <f>'Test Completo'!A46</f>
        <v>1341</v>
      </c>
      <c r="B46" s="2" t="str">
        <f>IFERROR(INDEX('Piano del test'!$A$5:$A$13,MATCH('Test Completo'!B46&amp;"|"&amp;'Test Completo'!C46&amp;"|"&amp;'Test Completo'!D46&amp;"|"&amp;'Test Completo'!E46,'Piano del test'!$R$5:$R$13,0)),"?")</f>
        <v>T9</v>
      </c>
      <c r="C46" s="25">
        <f>'Test Completo'!G46</f>
        <v>8</v>
      </c>
      <c r="D46" s="26">
        <f>IF('Test Completo'!M46="","",'Test Completo'!M46)</f>
        <v>33.5</v>
      </c>
      <c r="E46" s="25">
        <f>IF('Test Completo'!I46="","",'Test Completo'!I46)</f>
        <v>1</v>
      </c>
      <c r="F46" s="26">
        <f>IF('Test Completo'!H46="","",'Test Completo'!H46)</f>
        <v>2.3199999999999998</v>
      </c>
      <c r="G46" s="26">
        <f>IF('Test Completo'!L46="","",'Test Completo'!L46)</f>
        <v>5.0999999999999996</v>
      </c>
      <c r="H46" s="26">
        <f>IF('Test Completo'!T46="","",'Test Completo'!T46)</f>
        <v>2.12</v>
      </c>
      <c r="I46" s="2" t="str">
        <f>IF('Test Completo'!M46="","non eseguita",IF(N('Test Completo'!M46)=0,"timeout",IF(OR(N('Test Completo'!H46)&lt;0,N('Test Completo'!L46)&lt;0),"tempi negativi",IF(N('Test Completo'!I46)&lt;1,"NavMesh non attivato",IF(N('Test Completo'!T46)&gt;INDEX('Piano del test'!$N$5:$N$13,MATCH(B46,'Piano del test'!$A$5:$A$13,0)),"blocco al totem",IF(OR(N('Test Completo'!M46)&gt;'Piano del test'!$C$19,N('Test Completo'!H46)&gt;'Piano del test'!$C$20),"oltre le soglie","riuscita"))))))</f>
        <v>riuscita</v>
      </c>
      <c r="J46" s="27">
        <f t="shared" si="1"/>
        <v>33.5</v>
      </c>
    </row>
    <row r="47" spans="1:10" x14ac:dyDescent="0.45">
      <c r="A47" s="25">
        <f>'Test Completo'!A47</f>
        <v>1342</v>
      </c>
      <c r="B47" s="2" t="str">
        <f>IFERROR(INDEX('Piano del test'!$A$5:$A$13,MATCH('Test Completo'!B47&amp;"|"&amp;'Test Completo'!C47&amp;"|"&amp;'Test Completo'!D47&amp;"|"&amp;'Test Completo'!E47,'Piano del test'!$R$5:$R$13,0)),"?")</f>
        <v>T1</v>
      </c>
      <c r="C47" s="25">
        <f>'Test Completo'!G47</f>
        <v>9</v>
      </c>
      <c r="D47" s="26">
        <f>IF('Test Completo'!M47="","",'Test Completo'!M47)</f>
        <v>33.54</v>
      </c>
      <c r="E47" s="25">
        <f>IF('Test Completo'!I47="","",'Test Completo'!I47)</f>
        <v>1</v>
      </c>
      <c r="F47" s="26">
        <f>IF('Test Completo'!H47="","",'Test Completo'!H47)</f>
        <v>3.94</v>
      </c>
      <c r="G47" s="26">
        <f>IF('Test Completo'!L47="","",'Test Completo'!L47)</f>
        <v>3.42</v>
      </c>
      <c r="H47" s="26">
        <f>IF('Test Completo'!T47="","",'Test Completo'!T47)</f>
        <v>1.02</v>
      </c>
      <c r="I47" s="2" t="str">
        <f>IF('Test Completo'!M47="","non eseguita",IF(N('Test Completo'!M47)=0,"timeout",IF(OR(N('Test Completo'!H47)&lt;0,N('Test Completo'!L47)&lt;0),"tempi negativi",IF(N('Test Completo'!I47)&lt;1,"NavMesh non attivato",IF(N('Test Completo'!T47)&gt;INDEX('Piano del test'!$N$5:$N$13,MATCH(B47,'Piano del test'!$A$5:$A$13,0)),"blocco al totem",IF(OR(N('Test Completo'!M47)&gt;'Piano del test'!$C$19,N('Test Completo'!H47)&gt;'Piano del test'!$C$20),"oltre le soglie","riuscita"))))))</f>
        <v>riuscita</v>
      </c>
      <c r="J47" s="27">
        <f t="shared" si="1"/>
        <v>33.54</v>
      </c>
    </row>
    <row r="48" spans="1:10" x14ac:dyDescent="0.45">
      <c r="A48" s="25">
        <f>'Test Completo'!A48</f>
        <v>1343</v>
      </c>
      <c r="B48" s="2" t="str">
        <f>IFERROR(INDEX('Piano del test'!$A$5:$A$13,MATCH('Test Completo'!B48&amp;"|"&amp;'Test Completo'!C48&amp;"|"&amp;'Test Completo'!D48&amp;"|"&amp;'Test Completo'!E48,'Piano del test'!$R$5:$R$13,0)),"?")</f>
        <v>T2</v>
      </c>
      <c r="C48" s="25">
        <f>'Test Completo'!G48</f>
        <v>9</v>
      </c>
      <c r="D48" s="26">
        <f>IF('Test Completo'!M48="","",'Test Completo'!M48)</f>
        <v>62.36</v>
      </c>
      <c r="E48" s="25">
        <f>IF('Test Completo'!I48="","",'Test Completo'!I48)</f>
        <v>1</v>
      </c>
      <c r="F48" s="26">
        <f>IF('Test Completo'!H48="","",'Test Completo'!H48)</f>
        <v>3.16</v>
      </c>
      <c r="G48" s="26">
        <f>IF('Test Completo'!L48="","",'Test Completo'!L48)</f>
        <v>31.06</v>
      </c>
      <c r="H48" s="26">
        <f>IF('Test Completo'!T48="","",'Test Completo'!T48)</f>
        <v>28.8</v>
      </c>
      <c r="I48" s="2" t="str">
        <f>IF('Test Completo'!M48="","non eseguita",IF(N('Test Completo'!M48)=0,"timeout",IF(OR(N('Test Completo'!H48)&lt;0,N('Test Completo'!L48)&lt;0),"tempi negativi",IF(N('Test Completo'!I48)&lt;1,"NavMesh non attivato",IF(N('Test Completo'!T48)&gt;INDEX('Piano del test'!$N$5:$N$13,MATCH(B48,'Piano del test'!$A$5:$A$13,0)),"blocco al totem",IF(OR(N('Test Completo'!M48)&gt;'Piano del test'!$C$19,N('Test Completo'!H48)&gt;'Piano del test'!$C$20),"oltre le soglie","riuscita"))))))</f>
        <v>blocco al totem</v>
      </c>
      <c r="J48" s="27">
        <f t="shared" si="1"/>
        <v>0</v>
      </c>
    </row>
    <row r="49" spans="1:10" x14ac:dyDescent="0.45">
      <c r="A49" s="25">
        <f>'Test Completo'!A49</f>
        <v>1344</v>
      </c>
      <c r="B49" s="2" t="str">
        <f>IFERROR(INDEX('Piano del test'!$A$5:$A$13,MATCH('Test Completo'!B49&amp;"|"&amp;'Test Completo'!C49&amp;"|"&amp;'Test Completo'!D49&amp;"|"&amp;'Test Completo'!E49,'Piano del test'!$R$5:$R$13,0)),"?")</f>
        <v>T3</v>
      </c>
      <c r="C49" s="25">
        <f>'Test Completo'!G49</f>
        <v>9</v>
      </c>
      <c r="D49" s="26">
        <f>IF('Test Completo'!M49="","",'Test Completo'!M49)</f>
        <v>38.96</v>
      </c>
      <c r="E49" s="25">
        <f>IF('Test Completo'!I49="","",'Test Completo'!I49)</f>
        <v>1</v>
      </c>
      <c r="F49" s="26">
        <f>IF('Test Completo'!H49="","",'Test Completo'!H49)</f>
        <v>1.82</v>
      </c>
      <c r="G49" s="26">
        <f>IF('Test Completo'!L49="","",'Test Completo'!L49)</f>
        <v>9.58</v>
      </c>
      <c r="H49" s="26">
        <f>IF('Test Completo'!T49="","",'Test Completo'!T49)</f>
        <v>4.82</v>
      </c>
      <c r="I49" s="2" t="str">
        <f>IF('Test Completo'!M49="","non eseguita",IF(N('Test Completo'!M49)=0,"timeout",IF(OR(N('Test Completo'!H49)&lt;0,N('Test Completo'!L49)&lt;0),"tempi negativi",IF(N('Test Completo'!I49)&lt;1,"NavMesh non attivato",IF(N('Test Completo'!T49)&gt;INDEX('Piano del test'!$N$5:$N$13,MATCH(B49,'Piano del test'!$A$5:$A$13,0)),"blocco al totem",IF(OR(N('Test Completo'!M49)&gt;'Piano del test'!$C$19,N('Test Completo'!H49)&gt;'Piano del test'!$C$20),"oltre le soglie","riuscita"))))))</f>
        <v>riuscita</v>
      </c>
      <c r="J49" s="27">
        <f t="shared" si="1"/>
        <v>38.96</v>
      </c>
    </row>
    <row r="50" spans="1:10" x14ac:dyDescent="0.45">
      <c r="A50" s="25">
        <f>'Test Completo'!A50</f>
        <v>1345</v>
      </c>
      <c r="B50" s="2" t="str">
        <f>IFERROR(INDEX('Piano del test'!$A$5:$A$13,MATCH('Test Completo'!B50&amp;"|"&amp;'Test Completo'!C50&amp;"|"&amp;'Test Completo'!D50&amp;"|"&amp;'Test Completo'!E50,'Piano del test'!$R$5:$R$13,0)),"?")</f>
        <v>T4</v>
      </c>
      <c r="C50" s="25">
        <f>'Test Completo'!G50</f>
        <v>9</v>
      </c>
      <c r="D50" s="26">
        <f>IF('Test Completo'!M50="","",'Test Completo'!M50)</f>
        <v>29.84</v>
      </c>
      <c r="E50" s="25">
        <f>IF('Test Completo'!I50="","",'Test Completo'!I50)</f>
        <v>1</v>
      </c>
      <c r="F50" s="26">
        <f>IF('Test Completo'!H50="","",'Test Completo'!H50)</f>
        <v>1.38</v>
      </c>
      <c r="G50" s="26">
        <f>IF('Test Completo'!L50="","",'Test Completo'!L50)</f>
        <v>9.68</v>
      </c>
      <c r="H50" s="26">
        <f>IF('Test Completo'!T50="","",'Test Completo'!T50)</f>
        <v>4.84</v>
      </c>
      <c r="I50" s="2" t="str">
        <f>IF('Test Completo'!M50="","non eseguita",IF(N('Test Completo'!M50)=0,"timeout",IF(OR(N('Test Completo'!H50)&lt;0,N('Test Completo'!L50)&lt;0),"tempi negativi",IF(N('Test Completo'!I50)&lt;1,"NavMesh non attivato",IF(N('Test Completo'!T50)&gt;INDEX('Piano del test'!$N$5:$N$13,MATCH(B50,'Piano del test'!$A$5:$A$13,0)),"blocco al totem",IF(OR(N('Test Completo'!M50)&gt;'Piano del test'!$C$19,N('Test Completo'!H50)&gt;'Piano del test'!$C$20),"oltre le soglie","riuscita"))))))</f>
        <v>riuscita</v>
      </c>
      <c r="J50" s="27">
        <f t="shared" si="1"/>
        <v>29.84</v>
      </c>
    </row>
    <row r="51" spans="1:10" x14ac:dyDescent="0.45">
      <c r="A51" s="25">
        <f>'Test Completo'!A51</f>
        <v>1346</v>
      </c>
      <c r="B51" s="2" t="str">
        <f>IFERROR(INDEX('Piano del test'!$A$5:$A$13,MATCH('Test Completo'!B51&amp;"|"&amp;'Test Completo'!C51&amp;"|"&amp;'Test Completo'!D51&amp;"|"&amp;'Test Completo'!E51,'Piano del test'!$R$5:$R$13,0)),"?")</f>
        <v>T5</v>
      </c>
      <c r="C51" s="25">
        <f>'Test Completo'!G51</f>
        <v>9</v>
      </c>
      <c r="D51" s="26">
        <f>IF('Test Completo'!M51="","",'Test Completo'!M51)</f>
        <v>28.64</v>
      </c>
      <c r="E51" s="25">
        <f>IF('Test Completo'!I51="","",'Test Completo'!I51)</f>
        <v>1</v>
      </c>
      <c r="F51" s="26">
        <f>IF('Test Completo'!H51="","",'Test Completo'!H51)</f>
        <v>1.32</v>
      </c>
      <c r="G51" s="26">
        <f>IF('Test Completo'!L51="","",'Test Completo'!L51)</f>
        <v>9.66</v>
      </c>
      <c r="H51" s="26">
        <f>IF('Test Completo'!T51="","",'Test Completo'!T51)</f>
        <v>4.84</v>
      </c>
      <c r="I51" s="2" t="str">
        <f>IF('Test Completo'!M51="","non eseguita",IF(N('Test Completo'!M51)=0,"timeout",IF(OR(N('Test Completo'!H51)&lt;0,N('Test Completo'!L51)&lt;0),"tempi negativi",IF(N('Test Completo'!I51)&lt;1,"NavMesh non attivato",IF(N('Test Completo'!T51)&gt;INDEX('Piano del test'!$N$5:$N$13,MATCH(B51,'Piano del test'!$A$5:$A$13,0)),"blocco al totem",IF(OR(N('Test Completo'!M51)&gt;'Piano del test'!$C$19,N('Test Completo'!H51)&gt;'Piano del test'!$C$20),"oltre le soglie","riuscita"))))))</f>
        <v>riuscita</v>
      </c>
      <c r="J51" s="27">
        <f t="shared" si="1"/>
        <v>28.64</v>
      </c>
    </row>
    <row r="52" spans="1:10" x14ac:dyDescent="0.45">
      <c r="A52" s="25">
        <f>'Test Completo'!A52</f>
        <v>1347</v>
      </c>
      <c r="B52" s="2" t="str">
        <f>IFERROR(INDEX('Piano del test'!$A$5:$A$13,MATCH('Test Completo'!B52&amp;"|"&amp;'Test Completo'!C52&amp;"|"&amp;'Test Completo'!D52&amp;"|"&amp;'Test Completo'!E52,'Piano del test'!$R$5:$R$13,0)),"?")</f>
        <v>T6</v>
      </c>
      <c r="C52" s="25">
        <f>'Test Completo'!G52</f>
        <v>9</v>
      </c>
      <c r="D52" s="26">
        <f>IF('Test Completo'!M52="","",'Test Completo'!M52)</f>
        <v>26.56</v>
      </c>
      <c r="E52" s="25">
        <f>IF('Test Completo'!I52="","",'Test Completo'!I52)</f>
        <v>1</v>
      </c>
      <c r="F52" s="26">
        <f>IF('Test Completo'!H52="","",'Test Completo'!H52)</f>
        <v>3.14</v>
      </c>
      <c r="G52" s="26">
        <f>IF('Test Completo'!L52="","",'Test Completo'!L52)</f>
        <v>3.44</v>
      </c>
      <c r="H52" s="26">
        <f>IF('Test Completo'!T52="","",'Test Completo'!T52)</f>
        <v>1.08</v>
      </c>
      <c r="I52" s="2" t="str">
        <f>IF('Test Completo'!M52="","non eseguita",IF(N('Test Completo'!M52)=0,"timeout",IF(OR(N('Test Completo'!H52)&lt;0,N('Test Completo'!L52)&lt;0),"tempi negativi",IF(N('Test Completo'!I52)&lt;1,"NavMesh non attivato",IF(N('Test Completo'!T52)&gt;INDEX('Piano del test'!$N$5:$N$13,MATCH(B52,'Piano del test'!$A$5:$A$13,0)),"blocco al totem",IF(OR(N('Test Completo'!M52)&gt;'Piano del test'!$C$19,N('Test Completo'!H52)&gt;'Piano del test'!$C$20),"oltre le soglie","riuscita"))))))</f>
        <v>riuscita</v>
      </c>
      <c r="J52" s="27">
        <f t="shared" si="1"/>
        <v>26.56</v>
      </c>
    </row>
    <row r="53" spans="1:10" x14ac:dyDescent="0.45">
      <c r="A53" s="25">
        <f>'Test Completo'!A53</f>
        <v>1348</v>
      </c>
      <c r="B53" s="2" t="str">
        <f>IFERROR(INDEX('Piano del test'!$A$5:$A$13,MATCH('Test Completo'!B53&amp;"|"&amp;'Test Completo'!C53&amp;"|"&amp;'Test Completo'!D53&amp;"|"&amp;'Test Completo'!E53,'Piano del test'!$R$5:$R$13,0)),"?")</f>
        <v>T7</v>
      </c>
      <c r="C53" s="25">
        <f>'Test Completo'!G53</f>
        <v>9</v>
      </c>
      <c r="D53" s="26">
        <f>IF('Test Completo'!M53="","",'Test Completo'!M53)</f>
        <v>28.96</v>
      </c>
      <c r="E53" s="25">
        <f>IF('Test Completo'!I53="","",'Test Completo'!I53)</f>
        <v>1</v>
      </c>
      <c r="F53" s="26">
        <f>IF('Test Completo'!H53="","",'Test Completo'!H53)</f>
        <v>1.54</v>
      </c>
      <c r="G53" s="26">
        <f>IF('Test Completo'!L53="","",'Test Completo'!L53)</f>
        <v>9.58</v>
      </c>
      <c r="H53" s="26">
        <f>IF('Test Completo'!T53="","",'Test Completo'!T53)</f>
        <v>4.72</v>
      </c>
      <c r="I53" s="2" t="str">
        <f>IF('Test Completo'!M53="","non eseguita",IF(N('Test Completo'!M53)=0,"timeout",IF(OR(N('Test Completo'!H53)&lt;0,N('Test Completo'!L53)&lt;0),"tempi negativi",IF(N('Test Completo'!I53)&lt;1,"NavMesh non attivato",IF(N('Test Completo'!T53)&gt;INDEX('Piano del test'!$N$5:$N$13,MATCH(B53,'Piano del test'!$A$5:$A$13,0)),"blocco al totem",IF(OR(N('Test Completo'!M53)&gt;'Piano del test'!$C$19,N('Test Completo'!H53)&gt;'Piano del test'!$C$20),"oltre le soglie","riuscita"))))))</f>
        <v>riuscita</v>
      </c>
      <c r="J53" s="27">
        <f t="shared" si="1"/>
        <v>28.96</v>
      </c>
    </row>
    <row r="54" spans="1:10" x14ac:dyDescent="0.45">
      <c r="A54" s="25">
        <f>'Test Completo'!A54</f>
        <v>1349</v>
      </c>
      <c r="B54" s="2" t="str">
        <f>IFERROR(INDEX('Piano del test'!$A$5:$A$13,MATCH('Test Completo'!B54&amp;"|"&amp;'Test Completo'!C54&amp;"|"&amp;'Test Completo'!D54&amp;"|"&amp;'Test Completo'!E54,'Piano del test'!$R$5:$R$13,0)),"?")</f>
        <v>T8</v>
      </c>
      <c r="C54" s="25">
        <f>'Test Completo'!G54</f>
        <v>9</v>
      </c>
      <c r="D54" s="26">
        <f>IF('Test Completo'!M54="","",'Test Completo'!M54)</f>
        <v>31.52</v>
      </c>
      <c r="E54" s="25">
        <f>IF('Test Completo'!I54="","",'Test Completo'!I54)</f>
        <v>1</v>
      </c>
      <c r="F54" s="26">
        <f>IF('Test Completo'!H54="","",'Test Completo'!H54)</f>
        <v>3.42</v>
      </c>
      <c r="G54" s="26">
        <f>IF('Test Completo'!L54="","",'Test Completo'!L54)</f>
        <v>3.44</v>
      </c>
      <c r="H54" s="26">
        <f>IF('Test Completo'!T54="","",'Test Completo'!T54)</f>
        <v>1.04</v>
      </c>
      <c r="I54" s="2" t="str">
        <f>IF('Test Completo'!M54="","non eseguita",IF(N('Test Completo'!M54)=0,"timeout",IF(OR(N('Test Completo'!H54)&lt;0,N('Test Completo'!L54)&lt;0),"tempi negativi",IF(N('Test Completo'!I54)&lt;1,"NavMesh non attivato",IF(N('Test Completo'!T54)&gt;INDEX('Piano del test'!$N$5:$N$13,MATCH(B54,'Piano del test'!$A$5:$A$13,0)),"blocco al totem",IF(OR(N('Test Completo'!M54)&gt;'Piano del test'!$C$19,N('Test Completo'!H54)&gt;'Piano del test'!$C$20),"oltre le soglie","riuscita"))))))</f>
        <v>riuscita</v>
      </c>
      <c r="J54" s="27">
        <f t="shared" si="1"/>
        <v>31.52</v>
      </c>
    </row>
    <row r="55" spans="1:10" x14ac:dyDescent="0.45">
      <c r="A55" s="25">
        <f>'Test Completo'!A55</f>
        <v>1350</v>
      </c>
      <c r="B55" s="2" t="str">
        <f>IFERROR(INDEX('Piano del test'!$A$5:$A$13,MATCH('Test Completo'!B55&amp;"|"&amp;'Test Completo'!C55&amp;"|"&amp;'Test Completo'!D55&amp;"|"&amp;'Test Completo'!E55,'Piano del test'!$R$5:$R$13,0)),"?")</f>
        <v>T9</v>
      </c>
      <c r="C55" s="25">
        <f>'Test Completo'!G55</f>
        <v>9</v>
      </c>
      <c r="D55" s="26">
        <f>IF('Test Completo'!M55="","",'Test Completo'!M55)</f>
        <v>33.659999999999997</v>
      </c>
      <c r="E55" s="25">
        <f>IF('Test Completo'!I55="","",'Test Completo'!I55)</f>
        <v>1</v>
      </c>
      <c r="F55" s="26">
        <f>IF('Test Completo'!H55="","",'Test Completo'!H55)</f>
        <v>2.1</v>
      </c>
      <c r="G55" s="26">
        <f>IF('Test Completo'!L55="","",'Test Completo'!L55)</f>
        <v>5.0999999999999996</v>
      </c>
      <c r="H55" s="26">
        <f>IF('Test Completo'!T55="","",'Test Completo'!T55)</f>
        <v>2.1</v>
      </c>
      <c r="I55" s="2" t="str">
        <f>IF('Test Completo'!M55="","non eseguita",IF(N('Test Completo'!M55)=0,"timeout",IF(OR(N('Test Completo'!H55)&lt;0,N('Test Completo'!L55)&lt;0),"tempi negativi",IF(N('Test Completo'!I55)&lt;1,"NavMesh non attivato",IF(N('Test Completo'!T55)&gt;INDEX('Piano del test'!$N$5:$N$13,MATCH(B55,'Piano del test'!$A$5:$A$13,0)),"blocco al totem",IF(OR(N('Test Completo'!M55)&gt;'Piano del test'!$C$19,N('Test Completo'!H55)&gt;'Piano del test'!$C$20),"oltre le soglie","riuscita"))))))</f>
        <v>riuscita</v>
      </c>
      <c r="J55" s="27">
        <f t="shared" si="1"/>
        <v>33.659999999999997</v>
      </c>
    </row>
    <row r="56" spans="1:10" x14ac:dyDescent="0.45">
      <c r="A56" s="25">
        <f>'Test Completo'!A56</f>
        <v>1351</v>
      </c>
      <c r="B56" s="2" t="str">
        <f>IFERROR(INDEX('Piano del test'!$A$5:$A$13,MATCH('Test Completo'!B56&amp;"|"&amp;'Test Completo'!C56&amp;"|"&amp;'Test Completo'!D56&amp;"|"&amp;'Test Completo'!E56,'Piano del test'!$R$5:$R$13,0)),"?")</f>
        <v>T1</v>
      </c>
      <c r="C56" s="25">
        <f>'Test Completo'!G56</f>
        <v>10</v>
      </c>
      <c r="D56" s="26">
        <f>IF('Test Completo'!M56="","",'Test Completo'!M56)</f>
        <v>26.16</v>
      </c>
      <c r="E56" s="25">
        <f>IF('Test Completo'!I56="","",'Test Completo'!I56)</f>
        <v>1</v>
      </c>
      <c r="F56" s="26">
        <f>IF('Test Completo'!H56="","",'Test Completo'!H56)</f>
        <v>3.18</v>
      </c>
      <c r="G56" s="26">
        <f>IF('Test Completo'!L56="","",'Test Completo'!L56)</f>
        <v>3.26</v>
      </c>
      <c r="H56" s="26">
        <f>IF('Test Completo'!T56="","",'Test Completo'!T56)</f>
        <v>1</v>
      </c>
      <c r="I56" s="2" t="str">
        <f>IF('Test Completo'!M56="","non eseguita",IF(N('Test Completo'!M56)=0,"timeout",IF(OR(N('Test Completo'!H56)&lt;0,N('Test Completo'!L56)&lt;0),"tempi negativi",IF(N('Test Completo'!I56)&lt;1,"NavMesh non attivato",IF(N('Test Completo'!T56)&gt;INDEX('Piano del test'!$N$5:$N$13,MATCH(B56,'Piano del test'!$A$5:$A$13,0)),"blocco al totem",IF(OR(N('Test Completo'!M56)&gt;'Piano del test'!$C$19,N('Test Completo'!H56)&gt;'Piano del test'!$C$20),"oltre le soglie","riuscita"))))))</f>
        <v>riuscita</v>
      </c>
      <c r="J56" s="27">
        <f t="shared" si="1"/>
        <v>26.16</v>
      </c>
    </row>
    <row r="57" spans="1:10" x14ac:dyDescent="0.45">
      <c r="A57" s="25">
        <f>'Test Completo'!A57</f>
        <v>1352</v>
      </c>
      <c r="B57" s="2" t="str">
        <f>IFERROR(INDEX('Piano del test'!$A$5:$A$13,MATCH('Test Completo'!B57&amp;"|"&amp;'Test Completo'!C57&amp;"|"&amp;'Test Completo'!D57&amp;"|"&amp;'Test Completo'!E57,'Piano del test'!$R$5:$R$13,0)),"?")</f>
        <v>T2</v>
      </c>
      <c r="C57" s="25">
        <f>'Test Completo'!G57</f>
        <v>10</v>
      </c>
      <c r="D57" s="26">
        <f>IF('Test Completo'!M57="","",'Test Completo'!M57)</f>
        <v>26.58</v>
      </c>
      <c r="E57" s="25">
        <f>IF('Test Completo'!I57="","",'Test Completo'!I57)</f>
        <v>1</v>
      </c>
      <c r="F57" s="26">
        <f>IF('Test Completo'!H57="","",'Test Completo'!H57)</f>
        <v>3.16</v>
      </c>
      <c r="G57" s="26">
        <f>IF('Test Completo'!L57="","",'Test Completo'!L57)</f>
        <v>3.36</v>
      </c>
      <c r="H57" s="26">
        <f>IF('Test Completo'!T57="","",'Test Completo'!T57)</f>
        <v>1.08</v>
      </c>
      <c r="I57" s="2" t="str">
        <f>IF('Test Completo'!M57="","non eseguita",IF(N('Test Completo'!M57)=0,"timeout",IF(OR(N('Test Completo'!H57)&lt;0,N('Test Completo'!L57)&lt;0),"tempi negativi",IF(N('Test Completo'!I57)&lt;1,"NavMesh non attivato",IF(N('Test Completo'!T57)&gt;INDEX('Piano del test'!$N$5:$N$13,MATCH(B57,'Piano del test'!$A$5:$A$13,0)),"blocco al totem",IF(OR(N('Test Completo'!M57)&gt;'Piano del test'!$C$19,N('Test Completo'!H57)&gt;'Piano del test'!$C$20),"oltre le soglie","riuscita"))))))</f>
        <v>riuscita</v>
      </c>
      <c r="J57" s="27">
        <f t="shared" si="1"/>
        <v>26.58</v>
      </c>
    </row>
    <row r="58" spans="1:10" x14ac:dyDescent="0.45">
      <c r="A58" s="25">
        <f>'Test Completo'!A58</f>
        <v>1353</v>
      </c>
      <c r="B58" s="2" t="str">
        <f>IFERROR(INDEX('Piano del test'!$A$5:$A$13,MATCH('Test Completo'!B58&amp;"|"&amp;'Test Completo'!C58&amp;"|"&amp;'Test Completo'!D58&amp;"|"&amp;'Test Completo'!E58,'Piano del test'!$R$5:$R$13,0)),"?")</f>
        <v>T3</v>
      </c>
      <c r="C58" s="25">
        <f>'Test Completo'!G58</f>
        <v>10</v>
      </c>
      <c r="D58" s="26">
        <f>IF('Test Completo'!M58="","",'Test Completo'!M58)</f>
        <v>33.520000000000003</v>
      </c>
      <c r="E58" s="25">
        <f>IF('Test Completo'!I58="","",'Test Completo'!I58)</f>
        <v>1</v>
      </c>
      <c r="F58" s="26">
        <f>IF('Test Completo'!H58="","",'Test Completo'!H58)</f>
        <v>1.24</v>
      </c>
      <c r="G58" s="26">
        <f>IF('Test Completo'!L58="","",'Test Completo'!L58)</f>
        <v>9.6</v>
      </c>
      <c r="H58" s="26">
        <f>IF('Test Completo'!T58="","",'Test Completo'!T58)</f>
        <v>4.8</v>
      </c>
      <c r="I58" s="2" t="str">
        <f>IF('Test Completo'!M58="","non eseguita",IF(N('Test Completo'!M58)=0,"timeout",IF(OR(N('Test Completo'!H58)&lt;0,N('Test Completo'!L58)&lt;0),"tempi negativi",IF(N('Test Completo'!I58)&lt;1,"NavMesh non attivato",IF(N('Test Completo'!T58)&gt;INDEX('Piano del test'!$N$5:$N$13,MATCH(B58,'Piano del test'!$A$5:$A$13,0)),"blocco al totem",IF(OR(N('Test Completo'!M58)&gt;'Piano del test'!$C$19,N('Test Completo'!H58)&gt;'Piano del test'!$C$20),"oltre le soglie","riuscita"))))))</f>
        <v>riuscita</v>
      </c>
      <c r="J58" s="27">
        <f t="shared" si="1"/>
        <v>33.520000000000003</v>
      </c>
    </row>
    <row r="59" spans="1:10" x14ac:dyDescent="0.45">
      <c r="A59" s="25">
        <f>'Test Completo'!A59</f>
        <v>1354</v>
      </c>
      <c r="B59" s="2" t="str">
        <f>IFERROR(INDEX('Piano del test'!$A$5:$A$13,MATCH('Test Completo'!B59&amp;"|"&amp;'Test Completo'!C59&amp;"|"&amp;'Test Completo'!D59&amp;"|"&amp;'Test Completo'!E59,'Piano del test'!$R$5:$R$13,0)),"?")</f>
        <v>T4</v>
      </c>
      <c r="C59" s="25">
        <f>'Test Completo'!G59</f>
        <v>10</v>
      </c>
      <c r="D59" s="26">
        <f>IF('Test Completo'!M59="","",'Test Completo'!M59)</f>
        <v>32.82</v>
      </c>
      <c r="E59" s="25">
        <f>IF('Test Completo'!I59="","",'Test Completo'!I59)</f>
        <v>1</v>
      </c>
      <c r="F59" s="26">
        <f>IF('Test Completo'!H59="","",'Test Completo'!H59)</f>
        <v>1.9</v>
      </c>
      <c r="G59" s="26">
        <f>IF('Test Completo'!L59="","",'Test Completo'!L59)</f>
        <v>9.64</v>
      </c>
      <c r="H59" s="26">
        <f>IF('Test Completo'!T59="","",'Test Completo'!T59)</f>
        <v>4.78</v>
      </c>
      <c r="I59" s="2" t="str">
        <f>IF('Test Completo'!M59="","non eseguita",IF(N('Test Completo'!M59)=0,"timeout",IF(OR(N('Test Completo'!H59)&lt;0,N('Test Completo'!L59)&lt;0),"tempi negativi",IF(N('Test Completo'!I59)&lt;1,"NavMesh non attivato",IF(N('Test Completo'!T59)&gt;INDEX('Piano del test'!$N$5:$N$13,MATCH(B59,'Piano del test'!$A$5:$A$13,0)),"blocco al totem",IF(OR(N('Test Completo'!M59)&gt;'Piano del test'!$C$19,N('Test Completo'!H59)&gt;'Piano del test'!$C$20),"oltre le soglie","riuscita"))))))</f>
        <v>riuscita</v>
      </c>
      <c r="J59" s="27">
        <f t="shared" si="1"/>
        <v>32.82</v>
      </c>
    </row>
    <row r="60" spans="1:10" x14ac:dyDescent="0.45">
      <c r="A60" s="25">
        <f>'Test Completo'!A60</f>
        <v>1355</v>
      </c>
      <c r="B60" s="2" t="str">
        <f>IFERROR(INDEX('Piano del test'!$A$5:$A$13,MATCH('Test Completo'!B60&amp;"|"&amp;'Test Completo'!C60&amp;"|"&amp;'Test Completo'!D60&amp;"|"&amp;'Test Completo'!E60,'Piano del test'!$R$5:$R$13,0)),"?")</f>
        <v>T5</v>
      </c>
      <c r="C60" s="25">
        <f>'Test Completo'!G60</f>
        <v>10</v>
      </c>
      <c r="D60" s="26">
        <f>IF('Test Completo'!M60="","",'Test Completo'!M60)</f>
        <v>40.06</v>
      </c>
      <c r="E60" s="25">
        <f>IF('Test Completo'!I60="","",'Test Completo'!I60)</f>
        <v>1</v>
      </c>
      <c r="F60" s="26">
        <f>IF('Test Completo'!H60="","",'Test Completo'!H60)</f>
        <v>1.62</v>
      </c>
      <c r="G60" s="26">
        <f>IF('Test Completo'!L60="","",'Test Completo'!L60)</f>
        <v>9.6199999999999992</v>
      </c>
      <c r="H60" s="26">
        <f>IF('Test Completo'!T60="","",'Test Completo'!T60)</f>
        <v>4.8</v>
      </c>
      <c r="I60" s="2" t="str">
        <f>IF('Test Completo'!M60="","non eseguita",IF(N('Test Completo'!M60)=0,"timeout",IF(OR(N('Test Completo'!H60)&lt;0,N('Test Completo'!L60)&lt;0),"tempi negativi",IF(N('Test Completo'!I60)&lt;1,"NavMesh non attivato",IF(N('Test Completo'!T60)&gt;INDEX('Piano del test'!$N$5:$N$13,MATCH(B60,'Piano del test'!$A$5:$A$13,0)),"blocco al totem",IF(OR(N('Test Completo'!M60)&gt;'Piano del test'!$C$19,N('Test Completo'!H60)&gt;'Piano del test'!$C$20),"oltre le soglie","riuscita"))))))</f>
        <v>riuscita</v>
      </c>
      <c r="J60" s="27">
        <f t="shared" si="1"/>
        <v>40.06</v>
      </c>
    </row>
    <row r="61" spans="1:10" x14ac:dyDescent="0.45">
      <c r="A61" s="25">
        <f>'Test Completo'!A61</f>
        <v>1356</v>
      </c>
      <c r="B61" s="2" t="str">
        <f>IFERROR(INDEX('Piano del test'!$A$5:$A$13,MATCH('Test Completo'!B61&amp;"|"&amp;'Test Completo'!C61&amp;"|"&amp;'Test Completo'!D61&amp;"|"&amp;'Test Completo'!E61,'Piano del test'!$R$5:$R$13,0)),"?")</f>
        <v>T6</v>
      </c>
      <c r="C61" s="25">
        <f>'Test Completo'!G61</f>
        <v>10</v>
      </c>
      <c r="D61" s="26">
        <f>IF('Test Completo'!M61="","",'Test Completo'!M61)</f>
        <v>33.28</v>
      </c>
      <c r="E61" s="25">
        <f>IF('Test Completo'!I61="","",'Test Completo'!I61)</f>
        <v>1</v>
      </c>
      <c r="F61" s="26">
        <f>IF('Test Completo'!H61="","",'Test Completo'!H61)</f>
        <v>3.4</v>
      </c>
      <c r="G61" s="26">
        <f>IF('Test Completo'!L61="","",'Test Completo'!L61)</f>
        <v>3.54</v>
      </c>
      <c r="H61" s="26">
        <f>IF('Test Completo'!T61="","",'Test Completo'!T61)</f>
        <v>1.32</v>
      </c>
      <c r="I61" s="2" t="str">
        <f>IF('Test Completo'!M61="","non eseguita",IF(N('Test Completo'!M61)=0,"timeout",IF(OR(N('Test Completo'!H61)&lt;0,N('Test Completo'!L61)&lt;0),"tempi negativi",IF(N('Test Completo'!I61)&lt;1,"NavMesh non attivato",IF(N('Test Completo'!T61)&gt;INDEX('Piano del test'!$N$5:$N$13,MATCH(B61,'Piano del test'!$A$5:$A$13,0)),"blocco al totem",IF(OR(N('Test Completo'!M61)&gt;'Piano del test'!$C$19,N('Test Completo'!H61)&gt;'Piano del test'!$C$20),"oltre le soglie","riuscita"))))))</f>
        <v>riuscita</v>
      </c>
      <c r="J61" s="27">
        <f t="shared" si="1"/>
        <v>33.28</v>
      </c>
    </row>
    <row r="62" spans="1:10" x14ac:dyDescent="0.45">
      <c r="A62" s="25">
        <f>'Test Completo'!A62</f>
        <v>1357</v>
      </c>
      <c r="B62" s="2" t="str">
        <f>IFERROR(INDEX('Piano del test'!$A$5:$A$13,MATCH('Test Completo'!B62&amp;"|"&amp;'Test Completo'!C62&amp;"|"&amp;'Test Completo'!D62&amp;"|"&amp;'Test Completo'!E62,'Piano del test'!$R$5:$R$13,0)),"?")</f>
        <v>T7</v>
      </c>
      <c r="C62" s="25">
        <f>'Test Completo'!G62</f>
        <v>10</v>
      </c>
      <c r="D62" s="26">
        <f>IF('Test Completo'!M62="","",'Test Completo'!M62)</f>
        <v>28.64</v>
      </c>
      <c r="E62" s="25">
        <f>IF('Test Completo'!I62="","",'Test Completo'!I62)</f>
        <v>1</v>
      </c>
      <c r="F62" s="26">
        <f>IF('Test Completo'!H62="","",'Test Completo'!H62)</f>
        <v>1.26</v>
      </c>
      <c r="G62" s="26">
        <f>IF('Test Completo'!L62="","",'Test Completo'!L62)</f>
        <v>9.6999999999999993</v>
      </c>
      <c r="H62" s="26">
        <f>IF('Test Completo'!T62="","",'Test Completo'!T62)</f>
        <v>4.78</v>
      </c>
      <c r="I62" s="2" t="str">
        <f>IF('Test Completo'!M62="","non eseguita",IF(N('Test Completo'!M62)=0,"timeout",IF(OR(N('Test Completo'!H62)&lt;0,N('Test Completo'!L62)&lt;0),"tempi negativi",IF(N('Test Completo'!I62)&lt;1,"NavMesh non attivato",IF(N('Test Completo'!T62)&gt;INDEX('Piano del test'!$N$5:$N$13,MATCH(B62,'Piano del test'!$A$5:$A$13,0)),"blocco al totem",IF(OR(N('Test Completo'!M62)&gt;'Piano del test'!$C$19,N('Test Completo'!H62)&gt;'Piano del test'!$C$20),"oltre le soglie","riuscita"))))))</f>
        <v>riuscita</v>
      </c>
      <c r="J62" s="27">
        <f t="shared" si="1"/>
        <v>28.64</v>
      </c>
    </row>
    <row r="63" spans="1:10" x14ac:dyDescent="0.45">
      <c r="A63" s="25">
        <f>'Test Completo'!A63</f>
        <v>1358</v>
      </c>
      <c r="B63" s="2" t="str">
        <f>IFERROR(INDEX('Piano del test'!$A$5:$A$13,MATCH('Test Completo'!B63&amp;"|"&amp;'Test Completo'!C63&amp;"|"&amp;'Test Completo'!D63&amp;"|"&amp;'Test Completo'!E63,'Piano del test'!$R$5:$R$13,0)),"?")</f>
        <v>T8</v>
      </c>
      <c r="C63" s="25">
        <f>'Test Completo'!G63</f>
        <v>10</v>
      </c>
      <c r="D63" s="26">
        <f>IF('Test Completo'!M63="","",'Test Completo'!M63)</f>
        <v>29.1</v>
      </c>
      <c r="E63" s="25">
        <f>IF('Test Completo'!I63="","",'Test Completo'!I63)</f>
        <v>1</v>
      </c>
      <c r="F63" s="26">
        <f>IF('Test Completo'!H63="","",'Test Completo'!H63)</f>
        <v>3.76</v>
      </c>
      <c r="G63" s="26">
        <f>IF('Test Completo'!L63="","",'Test Completo'!L63)</f>
        <v>3.34</v>
      </c>
      <c r="H63" s="26">
        <f>IF('Test Completo'!T63="","",'Test Completo'!T63)</f>
        <v>1.1000000000000001</v>
      </c>
      <c r="I63" s="2" t="str">
        <f>IF('Test Completo'!M63="","non eseguita",IF(N('Test Completo'!M63)=0,"timeout",IF(OR(N('Test Completo'!H63)&lt;0,N('Test Completo'!L63)&lt;0),"tempi negativi",IF(N('Test Completo'!I63)&lt;1,"NavMesh non attivato",IF(N('Test Completo'!T63)&gt;INDEX('Piano del test'!$N$5:$N$13,MATCH(B63,'Piano del test'!$A$5:$A$13,0)),"blocco al totem",IF(OR(N('Test Completo'!M63)&gt;'Piano del test'!$C$19,N('Test Completo'!H63)&gt;'Piano del test'!$C$20),"oltre le soglie","riuscita"))))))</f>
        <v>riuscita</v>
      </c>
      <c r="J63" s="27">
        <f t="shared" si="1"/>
        <v>29.1</v>
      </c>
    </row>
    <row r="64" spans="1:10" x14ac:dyDescent="0.45">
      <c r="A64" s="25">
        <f>'Test Completo'!A64</f>
        <v>1359</v>
      </c>
      <c r="B64" s="2" t="str">
        <f>IFERROR(INDEX('Piano del test'!$A$5:$A$13,MATCH('Test Completo'!B64&amp;"|"&amp;'Test Completo'!C64&amp;"|"&amp;'Test Completo'!D64&amp;"|"&amp;'Test Completo'!E64,'Piano del test'!$R$5:$R$13,0)),"?")</f>
        <v>T9</v>
      </c>
      <c r="C64" s="25">
        <f>'Test Completo'!G64</f>
        <v>10</v>
      </c>
      <c r="D64" s="26">
        <f>IF('Test Completo'!M64="","",'Test Completo'!M64)</f>
        <v>26.78</v>
      </c>
      <c r="E64" s="25">
        <f>IF('Test Completo'!I64="","",'Test Completo'!I64)</f>
        <v>1</v>
      </c>
      <c r="F64" s="26">
        <f>IF('Test Completo'!H64="","",'Test Completo'!H64)</f>
        <v>1.7</v>
      </c>
      <c r="G64" s="26">
        <f>IF('Test Completo'!L64="","",'Test Completo'!L64)</f>
        <v>5.18</v>
      </c>
      <c r="H64" s="26">
        <f>IF('Test Completo'!T64="","",'Test Completo'!T64)</f>
        <v>2.1</v>
      </c>
      <c r="I64" s="2" t="str">
        <f>IF('Test Completo'!M64="","non eseguita",IF(N('Test Completo'!M64)=0,"timeout",IF(OR(N('Test Completo'!H64)&lt;0,N('Test Completo'!L64)&lt;0),"tempi negativi",IF(N('Test Completo'!I64)&lt;1,"NavMesh non attivato",IF(N('Test Completo'!T64)&gt;INDEX('Piano del test'!$N$5:$N$13,MATCH(B64,'Piano del test'!$A$5:$A$13,0)),"blocco al totem",IF(OR(N('Test Completo'!M64)&gt;'Piano del test'!$C$19,N('Test Completo'!H64)&gt;'Piano del test'!$C$20),"oltre le soglie","riuscita"))))))</f>
        <v>riuscita</v>
      </c>
      <c r="J64" s="27">
        <f t="shared" si="1"/>
        <v>26.78</v>
      </c>
    </row>
    <row r="65" spans="1:10" x14ac:dyDescent="0.45">
      <c r="A65" s="25">
        <f>'Test Completo'!A65</f>
        <v>1360</v>
      </c>
      <c r="B65" s="2" t="str">
        <f>IFERROR(INDEX('Piano del test'!$A$5:$A$13,MATCH('Test Completo'!B65&amp;"|"&amp;'Test Completo'!C65&amp;"|"&amp;'Test Completo'!D65&amp;"|"&amp;'Test Completo'!E65,'Piano del test'!$R$5:$R$13,0)),"?")</f>
        <v>T1</v>
      </c>
      <c r="C65" s="25">
        <f>'Test Completo'!G65</f>
        <v>11</v>
      </c>
      <c r="D65" s="26">
        <f>IF('Test Completo'!M65="","",'Test Completo'!M65)</f>
        <v>0</v>
      </c>
      <c r="E65" s="25">
        <f>IF('Test Completo'!I65="","",'Test Completo'!I65)</f>
        <v>0</v>
      </c>
      <c r="F65" s="26">
        <f>IF('Test Completo'!H65="","",'Test Completo'!H65)</f>
        <v>0</v>
      </c>
      <c r="G65" s="26">
        <f>IF('Test Completo'!L65="","",'Test Completo'!L65)</f>
        <v>0</v>
      </c>
      <c r="H65" s="26">
        <f>IF('Test Completo'!T65="","",'Test Completo'!T65)</f>
        <v>0</v>
      </c>
      <c r="I65" s="2" t="str">
        <f>IF('Test Completo'!M65="","non eseguita",IF(N('Test Completo'!M65)=0,"timeout",IF(OR(N('Test Completo'!H65)&lt;0,N('Test Completo'!L65)&lt;0),"tempi negativi",IF(N('Test Completo'!I65)&lt;1,"NavMesh non attivato",IF(N('Test Completo'!T65)&gt;INDEX('Piano del test'!$N$5:$N$13,MATCH(B65,'Piano del test'!$A$5:$A$13,0)),"blocco al totem",IF(OR(N('Test Completo'!M65)&gt;'Piano del test'!$C$19,N('Test Completo'!H65)&gt;'Piano del test'!$C$20),"oltre le soglie","riuscita"))))))</f>
        <v>timeout</v>
      </c>
      <c r="J65" s="27">
        <f t="shared" si="1"/>
        <v>0</v>
      </c>
    </row>
    <row r="66" spans="1:10" x14ac:dyDescent="0.45">
      <c r="A66" s="25">
        <f>'Test Completo'!A66</f>
        <v>1361</v>
      </c>
      <c r="B66" s="2" t="str">
        <f>IFERROR(INDEX('Piano del test'!$A$5:$A$13,MATCH('Test Completo'!B66&amp;"|"&amp;'Test Completo'!C66&amp;"|"&amp;'Test Completo'!D66&amp;"|"&amp;'Test Completo'!E66,'Piano del test'!$R$5:$R$13,0)),"?")</f>
        <v>T2</v>
      </c>
      <c r="C66" s="25">
        <f>'Test Completo'!G66</f>
        <v>11</v>
      </c>
      <c r="D66" s="26">
        <f>IF('Test Completo'!M66="","",'Test Completo'!M66)</f>
        <v>26.46</v>
      </c>
      <c r="E66" s="25">
        <f>IF('Test Completo'!I66="","",'Test Completo'!I66)</f>
        <v>1</v>
      </c>
      <c r="F66" s="26">
        <f>IF('Test Completo'!H66="","",'Test Completo'!H66)</f>
        <v>3.14</v>
      </c>
      <c r="G66" s="26">
        <f>IF('Test Completo'!L66="","",'Test Completo'!L66)</f>
        <v>3.26</v>
      </c>
      <c r="H66" s="26">
        <f>IF('Test Completo'!T66="","",'Test Completo'!T66)</f>
        <v>1</v>
      </c>
      <c r="I66" s="2" t="str">
        <f>IF('Test Completo'!M66="","non eseguita",IF(N('Test Completo'!M66)=0,"timeout",IF(OR(N('Test Completo'!H66)&lt;0,N('Test Completo'!L66)&lt;0),"tempi negativi",IF(N('Test Completo'!I66)&lt;1,"NavMesh non attivato",IF(N('Test Completo'!T66)&gt;INDEX('Piano del test'!$N$5:$N$13,MATCH(B66,'Piano del test'!$A$5:$A$13,0)),"blocco al totem",IF(OR(N('Test Completo'!M66)&gt;'Piano del test'!$C$19,N('Test Completo'!H66)&gt;'Piano del test'!$C$20),"oltre le soglie","riuscita"))))))</f>
        <v>riuscita</v>
      </c>
      <c r="J66" s="27">
        <f t="shared" ref="J66:J97" si="2">IF(I66="riuscita",D66,0)</f>
        <v>26.46</v>
      </c>
    </row>
    <row r="67" spans="1:10" x14ac:dyDescent="0.45">
      <c r="A67" s="25">
        <f>'Test Completo'!A67</f>
        <v>1362</v>
      </c>
      <c r="B67" s="2" t="str">
        <f>IFERROR(INDEX('Piano del test'!$A$5:$A$13,MATCH('Test Completo'!B67&amp;"|"&amp;'Test Completo'!C67&amp;"|"&amp;'Test Completo'!D67&amp;"|"&amp;'Test Completo'!E67,'Piano del test'!$R$5:$R$13,0)),"?")</f>
        <v>T3</v>
      </c>
      <c r="C67" s="25">
        <f>'Test Completo'!G67</f>
        <v>11</v>
      </c>
      <c r="D67" s="26">
        <f>IF('Test Completo'!M67="","",'Test Completo'!M67)</f>
        <v>33.200000000000003</v>
      </c>
      <c r="E67" s="25">
        <f>IF('Test Completo'!I67="","",'Test Completo'!I67)</f>
        <v>1</v>
      </c>
      <c r="F67" s="26">
        <f>IF('Test Completo'!H67="","",'Test Completo'!H67)</f>
        <v>1.98</v>
      </c>
      <c r="G67" s="26">
        <f>IF('Test Completo'!L67="","",'Test Completo'!L67)</f>
        <v>9.6</v>
      </c>
      <c r="H67" s="26">
        <f>IF('Test Completo'!T67="","",'Test Completo'!T67)</f>
        <v>4.8</v>
      </c>
      <c r="I67" s="2" t="str">
        <f>IF('Test Completo'!M67="","non eseguita",IF(N('Test Completo'!M67)=0,"timeout",IF(OR(N('Test Completo'!H67)&lt;0,N('Test Completo'!L67)&lt;0),"tempi negativi",IF(N('Test Completo'!I67)&lt;1,"NavMesh non attivato",IF(N('Test Completo'!T67)&gt;INDEX('Piano del test'!$N$5:$N$13,MATCH(B67,'Piano del test'!$A$5:$A$13,0)),"blocco al totem",IF(OR(N('Test Completo'!M67)&gt;'Piano del test'!$C$19,N('Test Completo'!H67)&gt;'Piano del test'!$C$20),"oltre le soglie","riuscita"))))))</f>
        <v>riuscita</v>
      </c>
      <c r="J67" s="27">
        <f t="shared" si="2"/>
        <v>33.200000000000003</v>
      </c>
    </row>
    <row r="68" spans="1:10" x14ac:dyDescent="0.45">
      <c r="A68" s="25">
        <f>'Test Completo'!A68</f>
        <v>1363</v>
      </c>
      <c r="B68" s="2" t="str">
        <f>IFERROR(INDEX('Piano del test'!$A$5:$A$13,MATCH('Test Completo'!B68&amp;"|"&amp;'Test Completo'!C68&amp;"|"&amp;'Test Completo'!D68&amp;"|"&amp;'Test Completo'!E68,'Piano del test'!$R$5:$R$13,0)),"?")</f>
        <v>T4</v>
      </c>
      <c r="C68" s="25">
        <f>'Test Completo'!G68</f>
        <v>11</v>
      </c>
      <c r="D68" s="26">
        <f>IF('Test Completo'!M68="","",'Test Completo'!M68)</f>
        <v>33.46</v>
      </c>
      <c r="E68" s="25">
        <f>IF('Test Completo'!I68="","",'Test Completo'!I68)</f>
        <v>1</v>
      </c>
      <c r="F68" s="26">
        <f>IF('Test Completo'!H68="","",'Test Completo'!H68)</f>
        <v>1.38</v>
      </c>
      <c r="G68" s="26">
        <f>IF('Test Completo'!L68="","",'Test Completo'!L68)</f>
        <v>9.66</v>
      </c>
      <c r="H68" s="26">
        <f>IF('Test Completo'!T68="","",'Test Completo'!T68)</f>
        <v>4.84</v>
      </c>
      <c r="I68" s="2" t="str">
        <f>IF('Test Completo'!M68="","non eseguita",IF(N('Test Completo'!M68)=0,"timeout",IF(OR(N('Test Completo'!H68)&lt;0,N('Test Completo'!L68)&lt;0),"tempi negativi",IF(N('Test Completo'!I68)&lt;1,"NavMesh non attivato",IF(N('Test Completo'!T68)&gt;INDEX('Piano del test'!$N$5:$N$13,MATCH(B68,'Piano del test'!$A$5:$A$13,0)),"blocco al totem",IF(OR(N('Test Completo'!M68)&gt;'Piano del test'!$C$19,N('Test Completo'!H68)&gt;'Piano del test'!$C$20),"oltre le soglie","riuscita"))))))</f>
        <v>riuscita</v>
      </c>
      <c r="J68" s="27">
        <f t="shared" si="2"/>
        <v>33.46</v>
      </c>
    </row>
    <row r="69" spans="1:10" x14ac:dyDescent="0.45">
      <c r="A69" s="25">
        <f>'Test Completo'!A69</f>
        <v>1364</v>
      </c>
      <c r="B69" s="2" t="str">
        <f>IFERROR(INDEX('Piano del test'!$A$5:$A$13,MATCH('Test Completo'!B69&amp;"|"&amp;'Test Completo'!C69&amp;"|"&amp;'Test Completo'!D69&amp;"|"&amp;'Test Completo'!E69,'Piano del test'!$R$5:$R$13,0)),"?")</f>
        <v>T5</v>
      </c>
      <c r="C69" s="25">
        <f>'Test Completo'!G69</f>
        <v>11</v>
      </c>
      <c r="D69" s="26">
        <f>IF('Test Completo'!M69="","",'Test Completo'!M69)</f>
        <v>36</v>
      </c>
      <c r="E69" s="25">
        <f>IF('Test Completo'!I69="","",'Test Completo'!I69)</f>
        <v>1</v>
      </c>
      <c r="F69" s="26">
        <f>IF('Test Completo'!H69="","",'Test Completo'!H69)</f>
        <v>1.3</v>
      </c>
      <c r="G69" s="26">
        <f>IF('Test Completo'!L69="","",'Test Completo'!L69)</f>
        <v>9.6199999999999992</v>
      </c>
      <c r="H69" s="26">
        <f>IF('Test Completo'!T69="","",'Test Completo'!T69)</f>
        <v>4.82</v>
      </c>
      <c r="I69" s="2" t="str">
        <f>IF('Test Completo'!M69="","non eseguita",IF(N('Test Completo'!M69)=0,"timeout",IF(OR(N('Test Completo'!H69)&lt;0,N('Test Completo'!L69)&lt;0),"tempi negativi",IF(N('Test Completo'!I69)&lt;1,"NavMesh non attivato",IF(N('Test Completo'!T69)&gt;INDEX('Piano del test'!$N$5:$N$13,MATCH(B69,'Piano del test'!$A$5:$A$13,0)),"blocco al totem",IF(OR(N('Test Completo'!M69)&gt;'Piano del test'!$C$19,N('Test Completo'!H69)&gt;'Piano del test'!$C$20),"oltre le soglie","riuscita"))))))</f>
        <v>riuscita</v>
      </c>
      <c r="J69" s="27">
        <f t="shared" si="2"/>
        <v>36</v>
      </c>
    </row>
    <row r="70" spans="1:10" x14ac:dyDescent="0.45">
      <c r="A70" s="25">
        <f>'Test Completo'!A70</f>
        <v>1365</v>
      </c>
      <c r="B70" s="2" t="str">
        <f>IFERROR(INDEX('Piano del test'!$A$5:$A$13,MATCH('Test Completo'!B70&amp;"|"&amp;'Test Completo'!C70&amp;"|"&amp;'Test Completo'!D70&amp;"|"&amp;'Test Completo'!E70,'Piano del test'!$R$5:$R$13,0)),"?")</f>
        <v>T6</v>
      </c>
      <c r="C70" s="25">
        <f>'Test Completo'!G70</f>
        <v>11</v>
      </c>
      <c r="D70" s="26">
        <f>IF('Test Completo'!M70="","",'Test Completo'!M70)</f>
        <v>26.44</v>
      </c>
      <c r="E70" s="25">
        <f>IF('Test Completo'!I70="","",'Test Completo'!I70)</f>
        <v>1</v>
      </c>
      <c r="F70" s="26">
        <f>IF('Test Completo'!H70="","",'Test Completo'!H70)</f>
        <v>3.18</v>
      </c>
      <c r="G70" s="26">
        <f>IF('Test Completo'!L70="","",'Test Completo'!L70)</f>
        <v>3.34</v>
      </c>
      <c r="H70" s="26">
        <f>IF('Test Completo'!T70="","",'Test Completo'!T70)</f>
        <v>1.04</v>
      </c>
      <c r="I70" s="2" t="str">
        <f>IF('Test Completo'!M70="","non eseguita",IF(N('Test Completo'!M70)=0,"timeout",IF(OR(N('Test Completo'!H70)&lt;0,N('Test Completo'!L70)&lt;0),"tempi negativi",IF(N('Test Completo'!I70)&lt;1,"NavMesh non attivato",IF(N('Test Completo'!T70)&gt;INDEX('Piano del test'!$N$5:$N$13,MATCH(B70,'Piano del test'!$A$5:$A$13,0)),"blocco al totem",IF(OR(N('Test Completo'!M70)&gt;'Piano del test'!$C$19,N('Test Completo'!H70)&gt;'Piano del test'!$C$20),"oltre le soglie","riuscita"))))))</f>
        <v>riuscita</v>
      </c>
      <c r="J70" s="27">
        <f t="shared" si="2"/>
        <v>26.44</v>
      </c>
    </row>
    <row r="71" spans="1:10" x14ac:dyDescent="0.45">
      <c r="A71" s="25">
        <f>'Test Completo'!A71</f>
        <v>1366</v>
      </c>
      <c r="B71" s="2" t="str">
        <f>IFERROR(INDEX('Piano del test'!$A$5:$A$13,MATCH('Test Completo'!B71&amp;"|"&amp;'Test Completo'!C71&amp;"|"&amp;'Test Completo'!D71&amp;"|"&amp;'Test Completo'!E71,'Piano del test'!$R$5:$R$13,0)),"?")</f>
        <v>T7</v>
      </c>
      <c r="C71" s="25">
        <f>'Test Completo'!G71</f>
        <v>11</v>
      </c>
      <c r="D71" s="26">
        <f>IF('Test Completo'!M71="","",'Test Completo'!M71)</f>
        <v>28.28</v>
      </c>
      <c r="E71" s="25">
        <f>IF('Test Completo'!I71="","",'Test Completo'!I71)</f>
        <v>1</v>
      </c>
      <c r="F71" s="26">
        <f>IF('Test Completo'!H71="","",'Test Completo'!H71)</f>
        <v>1.24</v>
      </c>
      <c r="G71" s="26">
        <f>IF('Test Completo'!L71="","",'Test Completo'!L71)</f>
        <v>9.76</v>
      </c>
      <c r="H71" s="26">
        <f>IF('Test Completo'!T71="","",'Test Completo'!T71)</f>
        <v>4.8600000000000003</v>
      </c>
      <c r="I71" s="2" t="str">
        <f>IF('Test Completo'!M71="","non eseguita",IF(N('Test Completo'!M71)=0,"timeout",IF(OR(N('Test Completo'!H71)&lt;0,N('Test Completo'!L71)&lt;0),"tempi negativi",IF(N('Test Completo'!I71)&lt;1,"NavMesh non attivato",IF(N('Test Completo'!T71)&gt;INDEX('Piano del test'!$N$5:$N$13,MATCH(B71,'Piano del test'!$A$5:$A$13,0)),"blocco al totem",IF(OR(N('Test Completo'!M71)&gt;'Piano del test'!$C$19,N('Test Completo'!H71)&gt;'Piano del test'!$C$20),"oltre le soglie","riuscita"))))))</f>
        <v>riuscita</v>
      </c>
      <c r="J71" s="27">
        <f t="shared" si="2"/>
        <v>28.28</v>
      </c>
    </row>
    <row r="72" spans="1:10" x14ac:dyDescent="0.45">
      <c r="A72" s="25">
        <f>'Test Completo'!A72</f>
        <v>1367</v>
      </c>
      <c r="B72" s="2" t="str">
        <f>IFERROR(INDEX('Piano del test'!$A$5:$A$13,MATCH('Test Completo'!B72&amp;"|"&amp;'Test Completo'!C72&amp;"|"&amp;'Test Completo'!D72&amp;"|"&amp;'Test Completo'!E72,'Piano del test'!$R$5:$R$13,0)),"?")</f>
        <v>T8</v>
      </c>
      <c r="C72" s="25">
        <f>'Test Completo'!G72</f>
        <v>11</v>
      </c>
      <c r="D72" s="26">
        <f>IF('Test Completo'!M72="","",'Test Completo'!M72)</f>
        <v>48.04</v>
      </c>
      <c r="E72" s="25">
        <f>IF('Test Completo'!I72="","",'Test Completo'!I72)</f>
        <v>1</v>
      </c>
      <c r="F72" s="26">
        <f>IF('Test Completo'!H72="","",'Test Completo'!H72)</f>
        <v>3.32</v>
      </c>
      <c r="G72" s="26">
        <f>IF('Test Completo'!L72="","",'Test Completo'!L72)</f>
        <v>23.38</v>
      </c>
      <c r="H72" s="26">
        <f>IF('Test Completo'!T72="","",'Test Completo'!T72)</f>
        <v>21.14</v>
      </c>
      <c r="I72" s="2" t="str">
        <f>IF('Test Completo'!M72="","non eseguita",IF(N('Test Completo'!M72)=0,"timeout",IF(OR(N('Test Completo'!H72)&lt;0,N('Test Completo'!L72)&lt;0),"tempi negativi",IF(N('Test Completo'!I72)&lt;1,"NavMesh non attivato",IF(N('Test Completo'!T72)&gt;INDEX('Piano del test'!$N$5:$N$13,MATCH(B72,'Piano del test'!$A$5:$A$13,0)),"blocco al totem",IF(OR(N('Test Completo'!M72)&gt;'Piano del test'!$C$19,N('Test Completo'!H72)&gt;'Piano del test'!$C$20),"oltre le soglie","riuscita"))))))</f>
        <v>blocco al totem</v>
      </c>
      <c r="J72" s="27">
        <f t="shared" si="2"/>
        <v>0</v>
      </c>
    </row>
    <row r="73" spans="1:10" x14ac:dyDescent="0.45">
      <c r="A73" s="25">
        <f>'Test Completo'!A73</f>
        <v>1368</v>
      </c>
      <c r="B73" s="2" t="str">
        <f>IFERROR(INDEX('Piano del test'!$A$5:$A$13,MATCH('Test Completo'!B73&amp;"|"&amp;'Test Completo'!C73&amp;"|"&amp;'Test Completo'!D73&amp;"|"&amp;'Test Completo'!E73,'Piano del test'!$R$5:$R$13,0)),"?")</f>
        <v>T9</v>
      </c>
      <c r="C73" s="25">
        <f>'Test Completo'!G73</f>
        <v>11</v>
      </c>
      <c r="D73" s="26">
        <f>IF('Test Completo'!M73="","",'Test Completo'!M73)</f>
        <v>37.44</v>
      </c>
      <c r="E73" s="25">
        <f>IF('Test Completo'!I73="","",'Test Completo'!I73)</f>
        <v>1</v>
      </c>
      <c r="F73" s="26">
        <f>IF('Test Completo'!H73="","",'Test Completo'!H73)</f>
        <v>1.74</v>
      </c>
      <c r="G73" s="26">
        <f>IF('Test Completo'!L73="","",'Test Completo'!L73)</f>
        <v>5.24</v>
      </c>
      <c r="H73" s="26">
        <f>IF('Test Completo'!T73="","",'Test Completo'!T73)</f>
        <v>2.1800000000000002</v>
      </c>
      <c r="I73" s="2" t="str">
        <f>IF('Test Completo'!M73="","non eseguita",IF(N('Test Completo'!M73)=0,"timeout",IF(OR(N('Test Completo'!H73)&lt;0,N('Test Completo'!L73)&lt;0),"tempi negativi",IF(N('Test Completo'!I73)&lt;1,"NavMesh non attivato",IF(N('Test Completo'!T73)&gt;INDEX('Piano del test'!$N$5:$N$13,MATCH(B73,'Piano del test'!$A$5:$A$13,0)),"blocco al totem",IF(OR(N('Test Completo'!M73)&gt;'Piano del test'!$C$19,N('Test Completo'!H73)&gt;'Piano del test'!$C$20),"oltre le soglie","riuscita"))))))</f>
        <v>riuscita</v>
      </c>
      <c r="J73" s="27">
        <f t="shared" si="2"/>
        <v>37.44</v>
      </c>
    </row>
    <row r="74" spans="1:10" x14ac:dyDescent="0.45">
      <c r="A74" s="25">
        <f>'Test Completo'!A74</f>
        <v>1369</v>
      </c>
      <c r="B74" s="2" t="str">
        <f>IFERROR(INDEX('Piano del test'!$A$5:$A$13,MATCH('Test Completo'!B74&amp;"|"&amp;'Test Completo'!C74&amp;"|"&amp;'Test Completo'!D74&amp;"|"&amp;'Test Completo'!E74,'Piano del test'!$R$5:$R$13,0)),"?")</f>
        <v>T1</v>
      </c>
      <c r="C74" s="25">
        <f>'Test Completo'!G74</f>
        <v>12</v>
      </c>
      <c r="D74" s="26">
        <f>IF('Test Completo'!M74="","",'Test Completo'!M74)</f>
        <v>33.68</v>
      </c>
      <c r="E74" s="25">
        <f>IF('Test Completo'!I74="","",'Test Completo'!I74)</f>
        <v>1</v>
      </c>
      <c r="F74" s="26">
        <f>IF('Test Completo'!H74="","",'Test Completo'!H74)</f>
        <v>3.92</v>
      </c>
      <c r="G74" s="26">
        <f>IF('Test Completo'!L74="","",'Test Completo'!L74)</f>
        <v>3.34</v>
      </c>
      <c r="H74" s="26">
        <f>IF('Test Completo'!T74="","",'Test Completo'!T74)</f>
        <v>1.06</v>
      </c>
      <c r="I74" s="2" t="str">
        <f>IF('Test Completo'!M74="","non eseguita",IF(N('Test Completo'!M74)=0,"timeout",IF(OR(N('Test Completo'!H74)&lt;0,N('Test Completo'!L74)&lt;0),"tempi negativi",IF(N('Test Completo'!I74)&lt;1,"NavMesh non attivato",IF(N('Test Completo'!T74)&gt;INDEX('Piano del test'!$N$5:$N$13,MATCH(B74,'Piano del test'!$A$5:$A$13,0)),"blocco al totem",IF(OR(N('Test Completo'!M74)&gt;'Piano del test'!$C$19,N('Test Completo'!H74)&gt;'Piano del test'!$C$20),"oltre le soglie","riuscita"))))))</f>
        <v>riuscita</v>
      </c>
      <c r="J74" s="27">
        <f t="shared" si="2"/>
        <v>33.68</v>
      </c>
    </row>
    <row r="75" spans="1:10" x14ac:dyDescent="0.45">
      <c r="A75" s="25">
        <f>'Test Completo'!A75</f>
        <v>1370</v>
      </c>
      <c r="B75" s="2" t="str">
        <f>IFERROR(INDEX('Piano del test'!$A$5:$A$13,MATCH('Test Completo'!B75&amp;"|"&amp;'Test Completo'!C75&amp;"|"&amp;'Test Completo'!D75&amp;"|"&amp;'Test Completo'!E75,'Piano del test'!$R$5:$R$13,0)),"?")</f>
        <v>T2</v>
      </c>
      <c r="C75" s="25">
        <f>'Test Completo'!G75</f>
        <v>12</v>
      </c>
      <c r="D75" s="26">
        <f>IF('Test Completo'!M75="","",'Test Completo'!M75)</f>
        <v>26.22</v>
      </c>
      <c r="E75" s="25">
        <f>IF('Test Completo'!I75="","",'Test Completo'!I75)</f>
        <v>1</v>
      </c>
      <c r="F75" s="26">
        <f>IF('Test Completo'!H75="","",'Test Completo'!H75)</f>
        <v>3.16</v>
      </c>
      <c r="G75" s="26">
        <f>IF('Test Completo'!L75="","",'Test Completo'!L75)</f>
        <v>3.38</v>
      </c>
      <c r="H75" s="26">
        <f>IF('Test Completo'!T75="","",'Test Completo'!T75)</f>
        <v>1.1000000000000001</v>
      </c>
      <c r="I75" s="2" t="str">
        <f>IF('Test Completo'!M75="","non eseguita",IF(N('Test Completo'!M75)=0,"timeout",IF(OR(N('Test Completo'!H75)&lt;0,N('Test Completo'!L75)&lt;0),"tempi negativi",IF(N('Test Completo'!I75)&lt;1,"NavMesh non attivato",IF(N('Test Completo'!T75)&gt;INDEX('Piano del test'!$N$5:$N$13,MATCH(B75,'Piano del test'!$A$5:$A$13,0)),"blocco al totem",IF(OR(N('Test Completo'!M75)&gt;'Piano del test'!$C$19,N('Test Completo'!H75)&gt;'Piano del test'!$C$20),"oltre le soglie","riuscita"))))))</f>
        <v>riuscita</v>
      </c>
      <c r="J75" s="27">
        <f t="shared" si="2"/>
        <v>26.22</v>
      </c>
    </row>
    <row r="76" spans="1:10" x14ac:dyDescent="0.45">
      <c r="A76" s="25">
        <f>'Test Completo'!A76</f>
        <v>1371</v>
      </c>
      <c r="B76" s="2" t="str">
        <f>IFERROR(INDEX('Piano del test'!$A$5:$A$13,MATCH('Test Completo'!B76&amp;"|"&amp;'Test Completo'!C76&amp;"|"&amp;'Test Completo'!D76&amp;"|"&amp;'Test Completo'!E76,'Piano del test'!$R$5:$R$13,0)),"?")</f>
        <v>T3</v>
      </c>
      <c r="C76" s="25">
        <f>'Test Completo'!G76</f>
        <v>12</v>
      </c>
      <c r="D76" s="26">
        <f>IF('Test Completo'!M76="","",'Test Completo'!M76)</f>
        <v>30.8</v>
      </c>
      <c r="E76" s="25">
        <f>IF('Test Completo'!I76="","",'Test Completo'!I76)</f>
        <v>1</v>
      </c>
      <c r="F76" s="26">
        <f>IF('Test Completo'!H76="","",'Test Completo'!H76)</f>
        <v>2.82</v>
      </c>
      <c r="G76" s="26">
        <f>IF('Test Completo'!L76="","",'Test Completo'!L76)</f>
        <v>9.6</v>
      </c>
      <c r="H76" s="26">
        <f>IF('Test Completo'!T76="","",'Test Completo'!T76)</f>
        <v>4.8</v>
      </c>
      <c r="I76" s="2" t="str">
        <f>IF('Test Completo'!M76="","non eseguita",IF(N('Test Completo'!M76)=0,"timeout",IF(OR(N('Test Completo'!H76)&lt;0,N('Test Completo'!L76)&lt;0),"tempi negativi",IF(N('Test Completo'!I76)&lt;1,"NavMesh non attivato",IF(N('Test Completo'!T76)&gt;INDEX('Piano del test'!$N$5:$N$13,MATCH(B76,'Piano del test'!$A$5:$A$13,0)),"blocco al totem",IF(OR(N('Test Completo'!M76)&gt;'Piano del test'!$C$19,N('Test Completo'!H76)&gt;'Piano del test'!$C$20),"oltre le soglie","riuscita"))))))</f>
        <v>riuscita</v>
      </c>
      <c r="J76" s="27">
        <f t="shared" si="2"/>
        <v>30.8</v>
      </c>
    </row>
    <row r="77" spans="1:10" x14ac:dyDescent="0.45">
      <c r="A77" s="25">
        <f>'Test Completo'!A77</f>
        <v>1372</v>
      </c>
      <c r="B77" s="2" t="str">
        <f>IFERROR(INDEX('Piano del test'!$A$5:$A$13,MATCH('Test Completo'!B77&amp;"|"&amp;'Test Completo'!C77&amp;"|"&amp;'Test Completo'!D77&amp;"|"&amp;'Test Completo'!E77,'Piano del test'!$R$5:$R$13,0)),"?")</f>
        <v>T4</v>
      </c>
      <c r="C77" s="25">
        <f>'Test Completo'!G77</f>
        <v>12</v>
      </c>
      <c r="D77" s="26">
        <f>IF('Test Completo'!M77="","",'Test Completo'!M77)</f>
        <v>28.94</v>
      </c>
      <c r="E77" s="25">
        <f>IF('Test Completo'!I77="","",'Test Completo'!I77)</f>
        <v>1</v>
      </c>
      <c r="F77" s="26">
        <f>IF('Test Completo'!H77="","",'Test Completo'!H77)</f>
        <v>1.66</v>
      </c>
      <c r="G77" s="26">
        <f>IF('Test Completo'!L77="","",'Test Completo'!L77)</f>
        <v>9.68</v>
      </c>
      <c r="H77" s="26">
        <f>IF('Test Completo'!T77="","",'Test Completo'!T77)</f>
        <v>4.8</v>
      </c>
      <c r="I77" s="2" t="str">
        <f>IF('Test Completo'!M77="","non eseguita",IF(N('Test Completo'!M77)=0,"timeout",IF(OR(N('Test Completo'!H77)&lt;0,N('Test Completo'!L77)&lt;0),"tempi negativi",IF(N('Test Completo'!I77)&lt;1,"NavMesh non attivato",IF(N('Test Completo'!T77)&gt;INDEX('Piano del test'!$N$5:$N$13,MATCH(B77,'Piano del test'!$A$5:$A$13,0)),"blocco al totem",IF(OR(N('Test Completo'!M77)&gt;'Piano del test'!$C$19,N('Test Completo'!H77)&gt;'Piano del test'!$C$20),"oltre le soglie","riuscita"))))))</f>
        <v>riuscita</v>
      </c>
      <c r="J77" s="27">
        <f t="shared" si="2"/>
        <v>28.94</v>
      </c>
    </row>
    <row r="78" spans="1:10" x14ac:dyDescent="0.45">
      <c r="A78" s="25">
        <f>'Test Completo'!A78</f>
        <v>1373</v>
      </c>
      <c r="B78" s="2" t="str">
        <f>IFERROR(INDEX('Piano del test'!$A$5:$A$13,MATCH('Test Completo'!B78&amp;"|"&amp;'Test Completo'!C78&amp;"|"&amp;'Test Completo'!D78&amp;"|"&amp;'Test Completo'!E78,'Piano del test'!$R$5:$R$13,0)),"?")</f>
        <v>T5</v>
      </c>
      <c r="C78" s="25">
        <f>'Test Completo'!G78</f>
        <v>12</v>
      </c>
      <c r="D78" s="26">
        <f>IF('Test Completo'!M78="","",'Test Completo'!M78)</f>
        <v>32.08</v>
      </c>
      <c r="E78" s="25">
        <f>IF('Test Completo'!I78="","",'Test Completo'!I78)</f>
        <v>1</v>
      </c>
      <c r="F78" s="26">
        <f>IF('Test Completo'!H78="","",'Test Completo'!H78)</f>
        <v>1.68</v>
      </c>
      <c r="G78" s="26">
        <f>IF('Test Completo'!L78="","",'Test Completo'!L78)</f>
        <v>9.64</v>
      </c>
      <c r="H78" s="26">
        <f>IF('Test Completo'!T78="","",'Test Completo'!T78)</f>
        <v>4.8</v>
      </c>
      <c r="I78" s="2" t="str">
        <f>IF('Test Completo'!M78="","non eseguita",IF(N('Test Completo'!M78)=0,"timeout",IF(OR(N('Test Completo'!H78)&lt;0,N('Test Completo'!L78)&lt;0),"tempi negativi",IF(N('Test Completo'!I78)&lt;1,"NavMesh non attivato",IF(N('Test Completo'!T78)&gt;INDEX('Piano del test'!$N$5:$N$13,MATCH(B78,'Piano del test'!$A$5:$A$13,0)),"blocco al totem",IF(OR(N('Test Completo'!M78)&gt;'Piano del test'!$C$19,N('Test Completo'!H78)&gt;'Piano del test'!$C$20),"oltre le soglie","riuscita"))))))</f>
        <v>riuscita</v>
      </c>
      <c r="J78" s="27">
        <f t="shared" si="2"/>
        <v>32.08</v>
      </c>
    </row>
    <row r="79" spans="1:10" x14ac:dyDescent="0.45">
      <c r="A79" s="25">
        <f>'Test Completo'!A79</f>
        <v>1374</v>
      </c>
      <c r="B79" s="2" t="str">
        <f>IFERROR(INDEX('Piano del test'!$A$5:$A$13,MATCH('Test Completo'!B79&amp;"|"&amp;'Test Completo'!C79&amp;"|"&amp;'Test Completo'!D79&amp;"|"&amp;'Test Completo'!E79,'Piano del test'!$R$5:$R$13,0)),"?")</f>
        <v>T6</v>
      </c>
      <c r="C79" s="25">
        <f>'Test Completo'!G79</f>
        <v>12</v>
      </c>
      <c r="D79" s="26">
        <f>IF('Test Completo'!M79="","",'Test Completo'!M79)</f>
        <v>31.78</v>
      </c>
      <c r="E79" s="25">
        <f>IF('Test Completo'!I79="","",'Test Completo'!I79)</f>
        <v>1</v>
      </c>
      <c r="F79" s="26">
        <f>IF('Test Completo'!H79="","",'Test Completo'!H79)</f>
        <v>3.38</v>
      </c>
      <c r="G79" s="26">
        <f>IF('Test Completo'!L79="","",'Test Completo'!L79)</f>
        <v>3.26</v>
      </c>
      <c r="H79" s="26">
        <f>IF('Test Completo'!T79="","",'Test Completo'!T79)</f>
        <v>1.02</v>
      </c>
      <c r="I79" s="2" t="str">
        <f>IF('Test Completo'!M79="","non eseguita",IF(N('Test Completo'!M79)=0,"timeout",IF(OR(N('Test Completo'!H79)&lt;0,N('Test Completo'!L79)&lt;0),"tempi negativi",IF(N('Test Completo'!I79)&lt;1,"NavMesh non attivato",IF(N('Test Completo'!T79)&gt;INDEX('Piano del test'!$N$5:$N$13,MATCH(B79,'Piano del test'!$A$5:$A$13,0)),"blocco al totem",IF(OR(N('Test Completo'!M79)&gt;'Piano del test'!$C$19,N('Test Completo'!H79)&gt;'Piano del test'!$C$20),"oltre le soglie","riuscita"))))))</f>
        <v>riuscita</v>
      </c>
      <c r="J79" s="27">
        <f t="shared" si="2"/>
        <v>31.78</v>
      </c>
    </row>
    <row r="80" spans="1:10" x14ac:dyDescent="0.45">
      <c r="A80" s="25">
        <f>'Test Completo'!A80</f>
        <v>1375</v>
      </c>
      <c r="B80" s="2" t="str">
        <f>IFERROR(INDEX('Piano del test'!$A$5:$A$13,MATCH('Test Completo'!B80&amp;"|"&amp;'Test Completo'!C80&amp;"|"&amp;'Test Completo'!D80&amp;"|"&amp;'Test Completo'!E80,'Piano del test'!$R$5:$R$13,0)),"?")</f>
        <v>T7</v>
      </c>
      <c r="C80" s="25">
        <f>'Test Completo'!G80</f>
        <v>12</v>
      </c>
      <c r="D80" s="26">
        <f>IF('Test Completo'!M80="","",'Test Completo'!M80)</f>
        <v>32.32</v>
      </c>
      <c r="E80" s="25">
        <f>IF('Test Completo'!I80="","",'Test Completo'!I80)</f>
        <v>1</v>
      </c>
      <c r="F80" s="26">
        <f>IF('Test Completo'!H80="","",'Test Completo'!H80)</f>
        <v>1.6</v>
      </c>
      <c r="G80" s="26">
        <f>IF('Test Completo'!L80="","",'Test Completo'!L80)</f>
        <v>9.7200000000000006</v>
      </c>
      <c r="H80" s="26">
        <f>IF('Test Completo'!T80="","",'Test Completo'!T80)</f>
        <v>4.78</v>
      </c>
      <c r="I80" s="2" t="str">
        <f>IF('Test Completo'!M80="","non eseguita",IF(N('Test Completo'!M80)=0,"timeout",IF(OR(N('Test Completo'!H80)&lt;0,N('Test Completo'!L80)&lt;0),"tempi negativi",IF(N('Test Completo'!I80)&lt;1,"NavMesh non attivato",IF(N('Test Completo'!T80)&gt;INDEX('Piano del test'!$N$5:$N$13,MATCH(B80,'Piano del test'!$A$5:$A$13,0)),"blocco al totem",IF(OR(N('Test Completo'!M80)&gt;'Piano del test'!$C$19,N('Test Completo'!H80)&gt;'Piano del test'!$C$20),"oltre le soglie","riuscita"))))))</f>
        <v>riuscita</v>
      </c>
      <c r="J80" s="27">
        <f t="shared" si="2"/>
        <v>32.32</v>
      </c>
    </row>
    <row r="81" spans="1:10" x14ac:dyDescent="0.45">
      <c r="A81" s="25">
        <f>'Test Completo'!A81</f>
        <v>1376</v>
      </c>
      <c r="B81" s="2" t="str">
        <f>IFERROR(INDEX('Piano del test'!$A$5:$A$13,MATCH('Test Completo'!B81&amp;"|"&amp;'Test Completo'!C81&amp;"|"&amp;'Test Completo'!D81&amp;"|"&amp;'Test Completo'!E81,'Piano del test'!$R$5:$R$13,0)),"?")</f>
        <v>T8</v>
      </c>
      <c r="C81" s="25">
        <f>'Test Completo'!G81</f>
        <v>12</v>
      </c>
      <c r="D81" s="26">
        <f>IF('Test Completo'!M81="","",'Test Completo'!M81)</f>
        <v>0</v>
      </c>
      <c r="E81" s="25">
        <f>IF('Test Completo'!I81="","",'Test Completo'!I81)</f>
        <v>0</v>
      </c>
      <c r="F81" s="26">
        <f>IF('Test Completo'!H81="","",'Test Completo'!H81)</f>
        <v>0</v>
      </c>
      <c r="G81" s="26">
        <f>IF('Test Completo'!L81="","",'Test Completo'!L81)</f>
        <v>0</v>
      </c>
      <c r="H81" s="26">
        <f>IF('Test Completo'!T81="","",'Test Completo'!T81)</f>
        <v>0</v>
      </c>
      <c r="I81" s="2" t="str">
        <f>IF('Test Completo'!M81="","non eseguita",IF(N('Test Completo'!M81)=0,"timeout",IF(OR(N('Test Completo'!H81)&lt;0,N('Test Completo'!L81)&lt;0),"tempi negativi",IF(N('Test Completo'!I81)&lt;1,"NavMesh non attivato",IF(N('Test Completo'!T81)&gt;INDEX('Piano del test'!$N$5:$N$13,MATCH(B81,'Piano del test'!$A$5:$A$13,0)),"blocco al totem",IF(OR(N('Test Completo'!M81)&gt;'Piano del test'!$C$19,N('Test Completo'!H81)&gt;'Piano del test'!$C$20),"oltre le soglie","riuscita"))))))</f>
        <v>timeout</v>
      </c>
      <c r="J81" s="27">
        <f t="shared" si="2"/>
        <v>0</v>
      </c>
    </row>
    <row r="82" spans="1:10" x14ac:dyDescent="0.45">
      <c r="A82" s="25">
        <f>'Test Completo'!A82</f>
        <v>1377</v>
      </c>
      <c r="B82" s="2" t="str">
        <f>IFERROR(INDEX('Piano del test'!$A$5:$A$13,MATCH('Test Completo'!B82&amp;"|"&amp;'Test Completo'!C82&amp;"|"&amp;'Test Completo'!D82&amp;"|"&amp;'Test Completo'!E82,'Piano del test'!$R$5:$R$13,0)),"?")</f>
        <v>T9</v>
      </c>
      <c r="C82" s="25">
        <f>'Test Completo'!G82</f>
        <v>12</v>
      </c>
      <c r="D82" s="26">
        <f>IF('Test Completo'!M82="","",'Test Completo'!M82)</f>
        <v>33.020000000000003</v>
      </c>
      <c r="E82" s="25">
        <f>IF('Test Completo'!I82="","",'Test Completo'!I82)</f>
        <v>1</v>
      </c>
      <c r="F82" s="26">
        <f>IF('Test Completo'!H82="","",'Test Completo'!H82)</f>
        <v>1.82</v>
      </c>
      <c r="G82" s="26">
        <f>IF('Test Completo'!L82="","",'Test Completo'!L82)</f>
        <v>5.14</v>
      </c>
      <c r="H82" s="26">
        <f>IF('Test Completo'!T82="","",'Test Completo'!T82)</f>
        <v>2.12</v>
      </c>
      <c r="I82" s="2" t="str">
        <f>IF('Test Completo'!M82="","non eseguita",IF(N('Test Completo'!M82)=0,"timeout",IF(OR(N('Test Completo'!H82)&lt;0,N('Test Completo'!L82)&lt;0),"tempi negativi",IF(N('Test Completo'!I82)&lt;1,"NavMesh non attivato",IF(N('Test Completo'!T82)&gt;INDEX('Piano del test'!$N$5:$N$13,MATCH(B82,'Piano del test'!$A$5:$A$13,0)),"blocco al totem",IF(OR(N('Test Completo'!M82)&gt;'Piano del test'!$C$19,N('Test Completo'!H82)&gt;'Piano del test'!$C$20),"oltre le soglie","riuscita"))))))</f>
        <v>riuscita</v>
      </c>
      <c r="J82" s="27">
        <f t="shared" si="2"/>
        <v>33.020000000000003</v>
      </c>
    </row>
    <row r="83" spans="1:10" x14ac:dyDescent="0.45">
      <c r="A83" s="25">
        <f>'Test Completo'!A83</f>
        <v>1378</v>
      </c>
      <c r="B83" s="2" t="str">
        <f>IFERROR(INDEX('Piano del test'!$A$5:$A$13,MATCH('Test Completo'!B83&amp;"|"&amp;'Test Completo'!C83&amp;"|"&amp;'Test Completo'!D83&amp;"|"&amp;'Test Completo'!E83,'Piano del test'!$R$5:$R$13,0)),"?")</f>
        <v>T1</v>
      </c>
      <c r="C83" s="25">
        <f>'Test Completo'!G83</f>
        <v>13</v>
      </c>
      <c r="D83" s="26">
        <f>IF('Test Completo'!M83="","",'Test Completo'!M83)</f>
        <v>32.380000000000003</v>
      </c>
      <c r="E83" s="25">
        <f>IF('Test Completo'!I83="","",'Test Completo'!I83)</f>
        <v>1</v>
      </c>
      <c r="F83" s="26">
        <f>IF('Test Completo'!H83="","",'Test Completo'!H83)</f>
        <v>3.48</v>
      </c>
      <c r="G83" s="26">
        <f>IF('Test Completo'!L83="","",'Test Completo'!L83)</f>
        <v>7.76</v>
      </c>
      <c r="H83" s="26">
        <f>IF('Test Completo'!T83="","",'Test Completo'!T83)</f>
        <v>5.52</v>
      </c>
      <c r="I83" s="2" t="str">
        <f>IF('Test Completo'!M83="","non eseguita",IF(N('Test Completo'!M83)=0,"timeout",IF(OR(N('Test Completo'!H83)&lt;0,N('Test Completo'!L83)&lt;0),"tempi negativi",IF(N('Test Completo'!I83)&lt;1,"NavMesh non attivato",IF(N('Test Completo'!T83)&gt;INDEX('Piano del test'!$N$5:$N$13,MATCH(B83,'Piano del test'!$A$5:$A$13,0)),"blocco al totem",IF(OR(N('Test Completo'!M83)&gt;'Piano del test'!$C$19,N('Test Completo'!H83)&gt;'Piano del test'!$C$20),"oltre le soglie","riuscita"))))))</f>
        <v>riuscita</v>
      </c>
      <c r="J83" s="27">
        <f t="shared" si="2"/>
        <v>32.380000000000003</v>
      </c>
    </row>
    <row r="84" spans="1:10" x14ac:dyDescent="0.45">
      <c r="A84" s="25">
        <f>'Test Completo'!A84</f>
        <v>1379</v>
      </c>
      <c r="B84" s="2" t="str">
        <f>IFERROR(INDEX('Piano del test'!$A$5:$A$13,MATCH('Test Completo'!B84&amp;"|"&amp;'Test Completo'!C84&amp;"|"&amp;'Test Completo'!D84&amp;"|"&amp;'Test Completo'!E84,'Piano del test'!$R$5:$R$13,0)),"?")</f>
        <v>T2</v>
      </c>
      <c r="C84" s="25">
        <f>'Test Completo'!G84</f>
        <v>13</v>
      </c>
      <c r="D84" s="26">
        <f>IF('Test Completo'!M84="","",'Test Completo'!M84)</f>
        <v>29.78</v>
      </c>
      <c r="E84" s="25">
        <f>IF('Test Completo'!I84="","",'Test Completo'!I84)</f>
        <v>1</v>
      </c>
      <c r="F84" s="26">
        <f>IF('Test Completo'!H84="","",'Test Completo'!H84)</f>
        <v>4.5199999999999996</v>
      </c>
      <c r="G84" s="26">
        <f>IF('Test Completo'!L84="","",'Test Completo'!L84)</f>
        <v>3.36</v>
      </c>
      <c r="H84" s="26">
        <f>IF('Test Completo'!T84="","",'Test Completo'!T84)</f>
        <v>1.1000000000000001</v>
      </c>
      <c r="I84" s="2" t="str">
        <f>IF('Test Completo'!M84="","non eseguita",IF(N('Test Completo'!M84)=0,"timeout",IF(OR(N('Test Completo'!H84)&lt;0,N('Test Completo'!L84)&lt;0),"tempi negativi",IF(N('Test Completo'!I84)&lt;1,"NavMesh non attivato",IF(N('Test Completo'!T84)&gt;INDEX('Piano del test'!$N$5:$N$13,MATCH(B84,'Piano del test'!$A$5:$A$13,0)),"blocco al totem",IF(OR(N('Test Completo'!M84)&gt;'Piano del test'!$C$19,N('Test Completo'!H84)&gt;'Piano del test'!$C$20),"oltre le soglie","riuscita"))))))</f>
        <v>riuscita</v>
      </c>
      <c r="J84" s="27">
        <f t="shared" si="2"/>
        <v>29.78</v>
      </c>
    </row>
    <row r="85" spans="1:10" x14ac:dyDescent="0.45">
      <c r="A85" s="25">
        <f>'Test Completo'!A85</f>
        <v>1380</v>
      </c>
      <c r="B85" s="2" t="str">
        <f>IFERROR(INDEX('Piano del test'!$A$5:$A$13,MATCH('Test Completo'!B85&amp;"|"&amp;'Test Completo'!C85&amp;"|"&amp;'Test Completo'!D85&amp;"|"&amp;'Test Completo'!E85,'Piano del test'!$R$5:$R$13,0)),"?")</f>
        <v>T3</v>
      </c>
      <c r="C85" s="25">
        <f>'Test Completo'!G85</f>
        <v>13</v>
      </c>
      <c r="D85" s="26">
        <f>IF('Test Completo'!M85="","",'Test Completo'!M85)</f>
        <v>34.68</v>
      </c>
      <c r="E85" s="25">
        <f>IF('Test Completo'!I85="","",'Test Completo'!I85)</f>
        <v>1</v>
      </c>
      <c r="F85" s="26">
        <f>IF('Test Completo'!H85="","",'Test Completo'!H85)</f>
        <v>2.3199999999999998</v>
      </c>
      <c r="G85" s="26">
        <f>IF('Test Completo'!L85="","",'Test Completo'!L85)</f>
        <v>9.7200000000000006</v>
      </c>
      <c r="H85" s="26">
        <f>IF('Test Completo'!T85="","",'Test Completo'!T85)</f>
        <v>4.78</v>
      </c>
      <c r="I85" s="2" t="str">
        <f>IF('Test Completo'!M85="","non eseguita",IF(N('Test Completo'!M85)=0,"timeout",IF(OR(N('Test Completo'!H85)&lt;0,N('Test Completo'!L85)&lt;0),"tempi negativi",IF(N('Test Completo'!I85)&lt;1,"NavMesh non attivato",IF(N('Test Completo'!T85)&gt;INDEX('Piano del test'!$N$5:$N$13,MATCH(B85,'Piano del test'!$A$5:$A$13,0)),"blocco al totem",IF(OR(N('Test Completo'!M85)&gt;'Piano del test'!$C$19,N('Test Completo'!H85)&gt;'Piano del test'!$C$20),"oltre le soglie","riuscita"))))))</f>
        <v>riuscita</v>
      </c>
      <c r="J85" s="27">
        <f t="shared" si="2"/>
        <v>34.68</v>
      </c>
    </row>
    <row r="86" spans="1:10" x14ac:dyDescent="0.45">
      <c r="A86" s="25">
        <f>'Test Completo'!A86</f>
        <v>1381</v>
      </c>
      <c r="B86" s="2" t="str">
        <f>IFERROR(INDEX('Piano del test'!$A$5:$A$13,MATCH('Test Completo'!B86&amp;"|"&amp;'Test Completo'!C86&amp;"|"&amp;'Test Completo'!D86&amp;"|"&amp;'Test Completo'!E86,'Piano del test'!$R$5:$R$13,0)),"?")</f>
        <v>T4</v>
      </c>
      <c r="C86" s="25">
        <f>'Test Completo'!G86</f>
        <v>13</v>
      </c>
      <c r="D86" s="26">
        <f>IF('Test Completo'!M86="","",'Test Completo'!M86)</f>
        <v>28.3</v>
      </c>
      <c r="E86" s="25">
        <f>IF('Test Completo'!I86="","",'Test Completo'!I86)</f>
        <v>1</v>
      </c>
      <c r="F86" s="26">
        <f>IF('Test Completo'!H86="","",'Test Completo'!H86)</f>
        <v>1.24</v>
      </c>
      <c r="G86" s="26">
        <f>IF('Test Completo'!L86="","",'Test Completo'!L86)</f>
        <v>9.7200000000000006</v>
      </c>
      <c r="H86" s="26">
        <f>IF('Test Completo'!T86="","",'Test Completo'!T86)</f>
        <v>4.8</v>
      </c>
      <c r="I86" s="2" t="str">
        <f>IF('Test Completo'!M86="","non eseguita",IF(N('Test Completo'!M86)=0,"timeout",IF(OR(N('Test Completo'!H86)&lt;0,N('Test Completo'!L86)&lt;0),"tempi negativi",IF(N('Test Completo'!I86)&lt;1,"NavMesh non attivato",IF(N('Test Completo'!T86)&gt;INDEX('Piano del test'!$N$5:$N$13,MATCH(B86,'Piano del test'!$A$5:$A$13,0)),"blocco al totem",IF(OR(N('Test Completo'!M86)&gt;'Piano del test'!$C$19,N('Test Completo'!H86)&gt;'Piano del test'!$C$20),"oltre le soglie","riuscita"))))))</f>
        <v>riuscita</v>
      </c>
      <c r="J86" s="27">
        <f t="shared" si="2"/>
        <v>28.3</v>
      </c>
    </row>
    <row r="87" spans="1:10" x14ac:dyDescent="0.45">
      <c r="A87" s="25">
        <f>'Test Completo'!A87</f>
        <v>1382</v>
      </c>
      <c r="B87" s="2" t="str">
        <f>IFERROR(INDEX('Piano del test'!$A$5:$A$13,MATCH('Test Completo'!B87&amp;"|"&amp;'Test Completo'!C87&amp;"|"&amp;'Test Completo'!D87&amp;"|"&amp;'Test Completo'!E87,'Piano del test'!$R$5:$R$13,0)),"?")</f>
        <v>T5</v>
      </c>
      <c r="C87" s="25">
        <f>'Test Completo'!G87</f>
        <v>13</v>
      </c>
      <c r="D87" s="26">
        <f>IF('Test Completo'!M87="","",'Test Completo'!M87)</f>
        <v>28.94</v>
      </c>
      <c r="E87" s="25">
        <f>IF('Test Completo'!I87="","",'Test Completo'!I87)</f>
        <v>1</v>
      </c>
      <c r="F87" s="26">
        <f>IF('Test Completo'!H87="","",'Test Completo'!H87)</f>
        <v>1.58</v>
      </c>
      <c r="G87" s="26">
        <f>IF('Test Completo'!L87="","",'Test Completo'!L87)</f>
        <v>9.64</v>
      </c>
      <c r="H87" s="26">
        <f>IF('Test Completo'!T87="","",'Test Completo'!T87)</f>
        <v>4.84</v>
      </c>
      <c r="I87" s="2" t="str">
        <f>IF('Test Completo'!M87="","non eseguita",IF(N('Test Completo'!M87)=0,"timeout",IF(OR(N('Test Completo'!H87)&lt;0,N('Test Completo'!L87)&lt;0),"tempi negativi",IF(N('Test Completo'!I87)&lt;1,"NavMesh non attivato",IF(N('Test Completo'!T87)&gt;INDEX('Piano del test'!$N$5:$N$13,MATCH(B87,'Piano del test'!$A$5:$A$13,0)),"blocco al totem",IF(OR(N('Test Completo'!M87)&gt;'Piano del test'!$C$19,N('Test Completo'!H87)&gt;'Piano del test'!$C$20),"oltre le soglie","riuscita"))))))</f>
        <v>riuscita</v>
      </c>
      <c r="J87" s="27">
        <f t="shared" si="2"/>
        <v>28.94</v>
      </c>
    </row>
    <row r="88" spans="1:10" x14ac:dyDescent="0.45">
      <c r="A88" s="25">
        <f>'Test Completo'!A88</f>
        <v>1383</v>
      </c>
      <c r="B88" s="2" t="str">
        <f>IFERROR(INDEX('Piano del test'!$A$5:$A$13,MATCH('Test Completo'!B88&amp;"|"&amp;'Test Completo'!C88&amp;"|"&amp;'Test Completo'!D88&amp;"|"&amp;'Test Completo'!E88,'Piano del test'!$R$5:$R$13,0)),"?")</f>
        <v>T6</v>
      </c>
      <c r="C88" s="25">
        <f>'Test Completo'!G88</f>
        <v>13</v>
      </c>
      <c r="D88" s="26">
        <f>IF('Test Completo'!M88="","",'Test Completo'!M88)</f>
        <v>28.7</v>
      </c>
      <c r="E88" s="25">
        <f>IF('Test Completo'!I88="","",'Test Completo'!I88)</f>
        <v>1</v>
      </c>
      <c r="F88" s="26">
        <f>IF('Test Completo'!H88="","",'Test Completo'!H88)</f>
        <v>3.74</v>
      </c>
      <c r="G88" s="26">
        <f>IF('Test Completo'!L88="","",'Test Completo'!L88)</f>
        <v>3.22</v>
      </c>
      <c r="H88" s="26">
        <f>IF('Test Completo'!T88="","",'Test Completo'!T88)</f>
        <v>0.98</v>
      </c>
      <c r="I88" s="2" t="str">
        <f>IF('Test Completo'!M88="","non eseguita",IF(N('Test Completo'!M88)=0,"timeout",IF(OR(N('Test Completo'!H88)&lt;0,N('Test Completo'!L88)&lt;0),"tempi negativi",IF(N('Test Completo'!I88)&lt;1,"NavMesh non attivato",IF(N('Test Completo'!T88)&gt;INDEX('Piano del test'!$N$5:$N$13,MATCH(B88,'Piano del test'!$A$5:$A$13,0)),"blocco al totem",IF(OR(N('Test Completo'!M88)&gt;'Piano del test'!$C$19,N('Test Completo'!H88)&gt;'Piano del test'!$C$20),"oltre le soglie","riuscita"))))))</f>
        <v>riuscita</v>
      </c>
      <c r="J88" s="27">
        <f t="shared" si="2"/>
        <v>28.7</v>
      </c>
    </row>
    <row r="89" spans="1:10" x14ac:dyDescent="0.45">
      <c r="A89" s="25">
        <f>'Test Completo'!A89</f>
        <v>1384</v>
      </c>
      <c r="B89" s="2" t="str">
        <f>IFERROR(INDEX('Piano del test'!$A$5:$A$13,MATCH('Test Completo'!B89&amp;"|"&amp;'Test Completo'!C89&amp;"|"&amp;'Test Completo'!D89&amp;"|"&amp;'Test Completo'!E89,'Piano del test'!$R$5:$R$13,0)),"?")</f>
        <v>T7</v>
      </c>
      <c r="C89" s="25">
        <f>'Test Completo'!G89</f>
        <v>13</v>
      </c>
      <c r="D89" s="26">
        <f>IF('Test Completo'!M89="","",'Test Completo'!M89)</f>
        <v>33.840000000000003</v>
      </c>
      <c r="E89" s="25">
        <f>IF('Test Completo'!I89="","",'Test Completo'!I89)</f>
        <v>1</v>
      </c>
      <c r="F89" s="26">
        <f>IF('Test Completo'!H89="","",'Test Completo'!H89)</f>
        <v>1.82</v>
      </c>
      <c r="G89" s="26">
        <f>IF('Test Completo'!L89="","",'Test Completo'!L89)</f>
        <v>9.56</v>
      </c>
      <c r="H89" s="26">
        <f>IF('Test Completo'!T89="","",'Test Completo'!T89)</f>
        <v>4.8</v>
      </c>
      <c r="I89" s="2" t="str">
        <f>IF('Test Completo'!M89="","non eseguita",IF(N('Test Completo'!M89)=0,"timeout",IF(OR(N('Test Completo'!H89)&lt;0,N('Test Completo'!L89)&lt;0),"tempi negativi",IF(N('Test Completo'!I89)&lt;1,"NavMesh non attivato",IF(N('Test Completo'!T89)&gt;INDEX('Piano del test'!$N$5:$N$13,MATCH(B89,'Piano del test'!$A$5:$A$13,0)),"blocco al totem",IF(OR(N('Test Completo'!M89)&gt;'Piano del test'!$C$19,N('Test Completo'!H89)&gt;'Piano del test'!$C$20),"oltre le soglie","riuscita"))))))</f>
        <v>riuscita</v>
      </c>
      <c r="J89" s="27">
        <f t="shared" si="2"/>
        <v>33.840000000000003</v>
      </c>
    </row>
    <row r="90" spans="1:10" x14ac:dyDescent="0.45">
      <c r="A90" s="25">
        <f>'Test Completo'!A90</f>
        <v>1385</v>
      </c>
      <c r="B90" s="2" t="str">
        <f>IFERROR(INDEX('Piano del test'!$A$5:$A$13,MATCH('Test Completo'!B90&amp;"|"&amp;'Test Completo'!C90&amp;"|"&amp;'Test Completo'!D90&amp;"|"&amp;'Test Completo'!E90,'Piano del test'!$R$5:$R$13,0)),"?")</f>
        <v>T8</v>
      </c>
      <c r="C90" s="25">
        <f>'Test Completo'!G90</f>
        <v>13</v>
      </c>
      <c r="D90" s="26">
        <f>IF('Test Completo'!M90="","",'Test Completo'!M90)</f>
        <v>0</v>
      </c>
      <c r="E90" s="25">
        <f>IF('Test Completo'!I90="","",'Test Completo'!I90)</f>
        <v>0</v>
      </c>
      <c r="F90" s="26">
        <f>IF('Test Completo'!H90="","",'Test Completo'!H90)</f>
        <v>0</v>
      </c>
      <c r="G90" s="26">
        <f>IF('Test Completo'!L90="","",'Test Completo'!L90)</f>
        <v>0</v>
      </c>
      <c r="H90" s="26">
        <f>IF('Test Completo'!T90="","",'Test Completo'!T90)</f>
        <v>0</v>
      </c>
      <c r="I90" s="2" t="str">
        <f>IF('Test Completo'!M90="","non eseguita",IF(N('Test Completo'!M90)=0,"timeout",IF(OR(N('Test Completo'!H90)&lt;0,N('Test Completo'!L90)&lt;0),"tempi negativi",IF(N('Test Completo'!I90)&lt;1,"NavMesh non attivato",IF(N('Test Completo'!T90)&gt;INDEX('Piano del test'!$N$5:$N$13,MATCH(B90,'Piano del test'!$A$5:$A$13,0)),"blocco al totem",IF(OR(N('Test Completo'!M90)&gt;'Piano del test'!$C$19,N('Test Completo'!H90)&gt;'Piano del test'!$C$20),"oltre le soglie","riuscita"))))))</f>
        <v>timeout</v>
      </c>
      <c r="J90" s="27">
        <f t="shared" si="2"/>
        <v>0</v>
      </c>
    </row>
    <row r="91" spans="1:10" x14ac:dyDescent="0.45">
      <c r="A91" s="25">
        <f>'Test Completo'!A91</f>
        <v>1386</v>
      </c>
      <c r="B91" s="2" t="str">
        <f>IFERROR(INDEX('Piano del test'!$A$5:$A$13,MATCH('Test Completo'!B91&amp;"|"&amp;'Test Completo'!C91&amp;"|"&amp;'Test Completo'!D91&amp;"|"&amp;'Test Completo'!E91,'Piano del test'!$R$5:$R$13,0)),"?")</f>
        <v>T9</v>
      </c>
      <c r="C91" s="25">
        <f>'Test Completo'!G91</f>
        <v>13</v>
      </c>
      <c r="D91" s="26">
        <f>IF('Test Completo'!M91="","",'Test Completo'!M91)</f>
        <v>31.62</v>
      </c>
      <c r="E91" s="25">
        <f>IF('Test Completo'!I91="","",'Test Completo'!I91)</f>
        <v>1</v>
      </c>
      <c r="F91" s="26">
        <f>IF('Test Completo'!H91="","",'Test Completo'!H91)</f>
        <v>1.72</v>
      </c>
      <c r="G91" s="26">
        <f>IF('Test Completo'!L91="","",'Test Completo'!L91)</f>
        <v>5.22</v>
      </c>
      <c r="H91" s="26">
        <f>IF('Test Completo'!T91="","",'Test Completo'!T91)</f>
        <v>2.14</v>
      </c>
      <c r="I91" s="2" t="str">
        <f>IF('Test Completo'!M91="","non eseguita",IF(N('Test Completo'!M91)=0,"timeout",IF(OR(N('Test Completo'!H91)&lt;0,N('Test Completo'!L91)&lt;0),"tempi negativi",IF(N('Test Completo'!I91)&lt;1,"NavMesh non attivato",IF(N('Test Completo'!T91)&gt;INDEX('Piano del test'!$N$5:$N$13,MATCH(B91,'Piano del test'!$A$5:$A$13,0)),"blocco al totem",IF(OR(N('Test Completo'!M91)&gt;'Piano del test'!$C$19,N('Test Completo'!H91)&gt;'Piano del test'!$C$20),"oltre le soglie","riuscita"))))))</f>
        <v>riuscita</v>
      </c>
      <c r="J91" s="27">
        <f t="shared" si="2"/>
        <v>31.62</v>
      </c>
    </row>
    <row r="92" spans="1:10" x14ac:dyDescent="0.45">
      <c r="A92" s="25">
        <f>'Test Completo'!A92</f>
        <v>1387</v>
      </c>
      <c r="B92" s="2" t="str">
        <f>IFERROR(INDEX('Piano del test'!$A$5:$A$13,MATCH('Test Completo'!B92&amp;"|"&amp;'Test Completo'!C92&amp;"|"&amp;'Test Completo'!D92&amp;"|"&amp;'Test Completo'!E92,'Piano del test'!$R$5:$R$13,0)),"?")</f>
        <v>T1</v>
      </c>
      <c r="C92" s="25">
        <f>'Test Completo'!G92</f>
        <v>14</v>
      </c>
      <c r="D92" s="26">
        <f>IF('Test Completo'!M92="","",'Test Completo'!M92)</f>
        <v>26.32</v>
      </c>
      <c r="E92" s="25">
        <f>IF('Test Completo'!I92="","",'Test Completo'!I92)</f>
        <v>1</v>
      </c>
      <c r="F92" s="26">
        <f>IF('Test Completo'!H92="","",'Test Completo'!H92)</f>
        <v>3.16</v>
      </c>
      <c r="G92" s="26">
        <f>IF('Test Completo'!L92="","",'Test Completo'!L92)</f>
        <v>3.26</v>
      </c>
      <c r="H92" s="26">
        <f>IF('Test Completo'!T92="","",'Test Completo'!T92)</f>
        <v>1.02</v>
      </c>
      <c r="I92" s="2" t="str">
        <f>IF('Test Completo'!M92="","non eseguita",IF(N('Test Completo'!M92)=0,"timeout",IF(OR(N('Test Completo'!H92)&lt;0,N('Test Completo'!L92)&lt;0),"tempi negativi",IF(N('Test Completo'!I92)&lt;1,"NavMesh non attivato",IF(N('Test Completo'!T92)&gt;INDEX('Piano del test'!$N$5:$N$13,MATCH(B92,'Piano del test'!$A$5:$A$13,0)),"blocco al totem",IF(OR(N('Test Completo'!M92)&gt;'Piano del test'!$C$19,N('Test Completo'!H92)&gt;'Piano del test'!$C$20),"oltre le soglie","riuscita"))))))</f>
        <v>riuscita</v>
      </c>
      <c r="J92" s="27">
        <f t="shared" si="2"/>
        <v>26.32</v>
      </c>
    </row>
    <row r="93" spans="1:10" x14ac:dyDescent="0.45">
      <c r="A93" s="25">
        <f>'Test Completo'!A93</f>
        <v>1388</v>
      </c>
      <c r="B93" s="2" t="str">
        <f>IFERROR(INDEX('Piano del test'!$A$5:$A$13,MATCH('Test Completo'!B93&amp;"|"&amp;'Test Completo'!C93&amp;"|"&amp;'Test Completo'!D93&amp;"|"&amp;'Test Completo'!E93,'Piano del test'!$R$5:$R$13,0)),"?")</f>
        <v>T2</v>
      </c>
      <c r="C93" s="25">
        <f>'Test Completo'!G93</f>
        <v>14</v>
      </c>
      <c r="D93" s="26">
        <f>IF('Test Completo'!M93="","",'Test Completo'!M93)</f>
        <v>26.48</v>
      </c>
      <c r="E93" s="25">
        <f>IF('Test Completo'!I93="","",'Test Completo'!I93)</f>
        <v>1</v>
      </c>
      <c r="F93" s="26">
        <f>IF('Test Completo'!H93="","",'Test Completo'!H93)</f>
        <v>3.16</v>
      </c>
      <c r="G93" s="26">
        <f>IF('Test Completo'!L93="","",'Test Completo'!L93)</f>
        <v>3.28</v>
      </c>
      <c r="H93" s="26">
        <f>IF('Test Completo'!T93="","",'Test Completo'!T93)</f>
        <v>1.02</v>
      </c>
      <c r="I93" s="2" t="str">
        <f>IF('Test Completo'!M93="","non eseguita",IF(N('Test Completo'!M93)=0,"timeout",IF(OR(N('Test Completo'!H93)&lt;0,N('Test Completo'!L93)&lt;0),"tempi negativi",IF(N('Test Completo'!I93)&lt;1,"NavMesh non attivato",IF(N('Test Completo'!T93)&gt;INDEX('Piano del test'!$N$5:$N$13,MATCH(B93,'Piano del test'!$A$5:$A$13,0)),"blocco al totem",IF(OR(N('Test Completo'!M93)&gt;'Piano del test'!$C$19,N('Test Completo'!H93)&gt;'Piano del test'!$C$20),"oltre le soglie","riuscita"))))))</f>
        <v>riuscita</v>
      </c>
      <c r="J93" s="27">
        <f t="shared" si="2"/>
        <v>26.48</v>
      </c>
    </row>
    <row r="94" spans="1:10" x14ac:dyDescent="0.45">
      <c r="A94" s="25">
        <f>'Test Completo'!A94</f>
        <v>1389</v>
      </c>
      <c r="B94" s="2" t="str">
        <f>IFERROR(INDEX('Piano del test'!$A$5:$A$13,MATCH('Test Completo'!B94&amp;"|"&amp;'Test Completo'!C94&amp;"|"&amp;'Test Completo'!D94&amp;"|"&amp;'Test Completo'!E94,'Piano del test'!$R$5:$R$13,0)),"?")</f>
        <v>T3</v>
      </c>
      <c r="C94" s="25">
        <f>'Test Completo'!G94</f>
        <v>14</v>
      </c>
      <c r="D94" s="26">
        <f>IF('Test Completo'!M94="","",'Test Completo'!M94)</f>
        <v>36.44</v>
      </c>
      <c r="E94" s="25">
        <f>IF('Test Completo'!I94="","",'Test Completo'!I94)</f>
        <v>1</v>
      </c>
      <c r="F94" s="26">
        <f>IF('Test Completo'!H94="","",'Test Completo'!H94)</f>
        <v>1.58</v>
      </c>
      <c r="G94" s="26">
        <f>IF('Test Completo'!L94="","",'Test Completo'!L94)</f>
        <v>9.58</v>
      </c>
      <c r="H94" s="26">
        <f>IF('Test Completo'!T94="","",'Test Completo'!T94)</f>
        <v>4.8</v>
      </c>
      <c r="I94" s="2" t="str">
        <f>IF('Test Completo'!M94="","non eseguita",IF(N('Test Completo'!M94)=0,"timeout",IF(OR(N('Test Completo'!H94)&lt;0,N('Test Completo'!L94)&lt;0),"tempi negativi",IF(N('Test Completo'!I94)&lt;1,"NavMesh non attivato",IF(N('Test Completo'!T94)&gt;INDEX('Piano del test'!$N$5:$N$13,MATCH(B94,'Piano del test'!$A$5:$A$13,0)),"blocco al totem",IF(OR(N('Test Completo'!M94)&gt;'Piano del test'!$C$19,N('Test Completo'!H94)&gt;'Piano del test'!$C$20),"oltre le soglie","riuscita"))))))</f>
        <v>riuscita</v>
      </c>
      <c r="J94" s="27">
        <f t="shared" si="2"/>
        <v>36.44</v>
      </c>
    </row>
    <row r="95" spans="1:10" x14ac:dyDescent="0.45">
      <c r="A95" s="25">
        <f>'Test Completo'!A95</f>
        <v>1390</v>
      </c>
      <c r="B95" s="2" t="str">
        <f>IFERROR(INDEX('Piano del test'!$A$5:$A$13,MATCH('Test Completo'!B95&amp;"|"&amp;'Test Completo'!C95&amp;"|"&amp;'Test Completo'!D95&amp;"|"&amp;'Test Completo'!E95,'Piano del test'!$R$5:$R$13,0)),"?")</f>
        <v>T4</v>
      </c>
      <c r="C95" s="25">
        <f>'Test Completo'!G95</f>
        <v>14</v>
      </c>
      <c r="D95" s="26">
        <f>IF('Test Completo'!M95="","",'Test Completo'!M95)</f>
        <v>28.32</v>
      </c>
      <c r="E95" s="25">
        <f>IF('Test Completo'!I95="","",'Test Completo'!I95)</f>
        <v>1</v>
      </c>
      <c r="F95" s="26">
        <f>IF('Test Completo'!H95="","",'Test Completo'!H95)</f>
        <v>1.3</v>
      </c>
      <c r="G95" s="26">
        <f>IF('Test Completo'!L95="","",'Test Completo'!L95)</f>
        <v>9.6999999999999993</v>
      </c>
      <c r="H95" s="26">
        <f>IF('Test Completo'!T95="","",'Test Completo'!T95)</f>
        <v>4.8</v>
      </c>
      <c r="I95" s="2" t="str">
        <f>IF('Test Completo'!M95="","non eseguita",IF(N('Test Completo'!M95)=0,"timeout",IF(OR(N('Test Completo'!H95)&lt;0,N('Test Completo'!L95)&lt;0),"tempi negativi",IF(N('Test Completo'!I95)&lt;1,"NavMesh non attivato",IF(N('Test Completo'!T95)&gt;INDEX('Piano del test'!$N$5:$N$13,MATCH(B95,'Piano del test'!$A$5:$A$13,0)),"blocco al totem",IF(OR(N('Test Completo'!M95)&gt;'Piano del test'!$C$19,N('Test Completo'!H95)&gt;'Piano del test'!$C$20),"oltre le soglie","riuscita"))))))</f>
        <v>riuscita</v>
      </c>
      <c r="J95" s="27">
        <f t="shared" si="2"/>
        <v>28.32</v>
      </c>
    </row>
    <row r="96" spans="1:10" x14ac:dyDescent="0.45">
      <c r="A96" s="25">
        <f>'Test Completo'!A96</f>
        <v>1391</v>
      </c>
      <c r="B96" s="2" t="str">
        <f>IFERROR(INDEX('Piano del test'!$A$5:$A$13,MATCH('Test Completo'!B96&amp;"|"&amp;'Test Completo'!C96&amp;"|"&amp;'Test Completo'!D96&amp;"|"&amp;'Test Completo'!E96,'Piano del test'!$R$5:$R$13,0)),"?")</f>
        <v>T5</v>
      </c>
      <c r="C96" s="25">
        <f>'Test Completo'!G96</f>
        <v>14</v>
      </c>
      <c r="D96" s="26">
        <f>IF('Test Completo'!M96="","",'Test Completo'!M96)</f>
        <v>28.26</v>
      </c>
      <c r="E96" s="25">
        <f>IF('Test Completo'!I96="","",'Test Completo'!I96)</f>
        <v>1</v>
      </c>
      <c r="F96" s="26">
        <f>IF('Test Completo'!H96="","",'Test Completo'!H96)</f>
        <v>1.22</v>
      </c>
      <c r="G96" s="26">
        <f>IF('Test Completo'!L96="","",'Test Completo'!L96)</f>
        <v>9.74</v>
      </c>
      <c r="H96" s="26">
        <f>IF('Test Completo'!T96="","",'Test Completo'!T96)</f>
        <v>4.88</v>
      </c>
      <c r="I96" s="2" t="str">
        <f>IF('Test Completo'!M96="","non eseguita",IF(N('Test Completo'!M96)=0,"timeout",IF(OR(N('Test Completo'!H96)&lt;0,N('Test Completo'!L96)&lt;0),"tempi negativi",IF(N('Test Completo'!I96)&lt;1,"NavMesh non attivato",IF(N('Test Completo'!T96)&gt;INDEX('Piano del test'!$N$5:$N$13,MATCH(B96,'Piano del test'!$A$5:$A$13,0)),"blocco al totem",IF(OR(N('Test Completo'!M96)&gt;'Piano del test'!$C$19,N('Test Completo'!H96)&gt;'Piano del test'!$C$20),"oltre le soglie","riuscita"))))))</f>
        <v>riuscita</v>
      </c>
      <c r="J96" s="27">
        <f t="shared" si="2"/>
        <v>28.26</v>
      </c>
    </row>
    <row r="97" spans="1:10" x14ac:dyDescent="0.45">
      <c r="A97" s="25">
        <f>'Test Completo'!A97</f>
        <v>1392</v>
      </c>
      <c r="B97" s="2" t="str">
        <f>IFERROR(INDEX('Piano del test'!$A$5:$A$13,MATCH('Test Completo'!B97&amp;"|"&amp;'Test Completo'!C97&amp;"|"&amp;'Test Completo'!D97&amp;"|"&amp;'Test Completo'!E97,'Piano del test'!$R$5:$R$13,0)),"?")</f>
        <v>T6</v>
      </c>
      <c r="C97" s="25">
        <f>'Test Completo'!G97</f>
        <v>14</v>
      </c>
      <c r="D97" s="26">
        <f>IF('Test Completo'!M97="","",'Test Completo'!M97)</f>
        <v>28.64</v>
      </c>
      <c r="E97" s="25">
        <f>IF('Test Completo'!I97="","",'Test Completo'!I97)</f>
        <v>1</v>
      </c>
      <c r="F97" s="26">
        <f>IF('Test Completo'!H97="","",'Test Completo'!H97)</f>
        <v>3.66</v>
      </c>
      <c r="G97" s="26">
        <f>IF('Test Completo'!L97="","",'Test Completo'!L97)</f>
        <v>3.46</v>
      </c>
      <c r="H97" s="26">
        <f>IF('Test Completo'!T97="","",'Test Completo'!T97)</f>
        <v>1.08</v>
      </c>
      <c r="I97" s="2" t="str">
        <f>IF('Test Completo'!M97="","non eseguita",IF(N('Test Completo'!M97)=0,"timeout",IF(OR(N('Test Completo'!H97)&lt;0,N('Test Completo'!L97)&lt;0),"tempi negativi",IF(N('Test Completo'!I97)&lt;1,"NavMesh non attivato",IF(N('Test Completo'!T97)&gt;INDEX('Piano del test'!$N$5:$N$13,MATCH(B97,'Piano del test'!$A$5:$A$13,0)),"blocco al totem",IF(OR(N('Test Completo'!M97)&gt;'Piano del test'!$C$19,N('Test Completo'!H97)&gt;'Piano del test'!$C$20),"oltre le soglie","riuscita"))))))</f>
        <v>riuscita</v>
      </c>
      <c r="J97" s="27">
        <f t="shared" si="2"/>
        <v>28.64</v>
      </c>
    </row>
    <row r="98" spans="1:10" x14ac:dyDescent="0.45">
      <c r="A98" s="25">
        <f>'Test Completo'!A98</f>
        <v>1393</v>
      </c>
      <c r="B98" s="2" t="str">
        <f>IFERROR(INDEX('Piano del test'!$A$5:$A$13,MATCH('Test Completo'!B98&amp;"|"&amp;'Test Completo'!C98&amp;"|"&amp;'Test Completo'!D98&amp;"|"&amp;'Test Completo'!E98,'Piano del test'!$R$5:$R$13,0)),"?")</f>
        <v>T7</v>
      </c>
      <c r="C98" s="25">
        <f>'Test Completo'!G98</f>
        <v>14</v>
      </c>
      <c r="D98" s="26">
        <f>IF('Test Completo'!M98="","",'Test Completo'!M98)</f>
        <v>28.94</v>
      </c>
      <c r="E98" s="25">
        <f>IF('Test Completo'!I98="","",'Test Completo'!I98)</f>
        <v>1</v>
      </c>
      <c r="F98" s="26">
        <f>IF('Test Completo'!H98="","",'Test Completo'!H98)</f>
        <v>1.38</v>
      </c>
      <c r="G98" s="26">
        <f>IF('Test Completo'!L98="","",'Test Completo'!L98)</f>
        <v>9.68</v>
      </c>
      <c r="H98" s="26">
        <f>IF('Test Completo'!T98="","",'Test Completo'!T98)</f>
        <v>4.84</v>
      </c>
      <c r="I98" s="2" t="str">
        <f>IF('Test Completo'!M98="","non eseguita",IF(N('Test Completo'!M98)=0,"timeout",IF(OR(N('Test Completo'!H98)&lt;0,N('Test Completo'!L98)&lt;0),"tempi negativi",IF(N('Test Completo'!I98)&lt;1,"NavMesh non attivato",IF(N('Test Completo'!T98)&gt;INDEX('Piano del test'!$N$5:$N$13,MATCH(B98,'Piano del test'!$A$5:$A$13,0)),"blocco al totem",IF(OR(N('Test Completo'!M98)&gt;'Piano del test'!$C$19,N('Test Completo'!H98)&gt;'Piano del test'!$C$20),"oltre le soglie","riuscita"))))))</f>
        <v>riuscita</v>
      </c>
      <c r="J98" s="27">
        <f t="shared" ref="J98:J129" si="3">IF(I98="riuscita",D98,0)</f>
        <v>28.94</v>
      </c>
    </row>
    <row r="99" spans="1:10" x14ac:dyDescent="0.45">
      <c r="A99" s="25">
        <f>'Test Completo'!A99</f>
        <v>1394</v>
      </c>
      <c r="B99" s="2" t="str">
        <f>IFERROR(INDEX('Piano del test'!$A$5:$A$13,MATCH('Test Completo'!B99&amp;"|"&amp;'Test Completo'!C99&amp;"|"&amp;'Test Completo'!D99&amp;"|"&amp;'Test Completo'!E99,'Piano del test'!$R$5:$R$13,0)),"?")</f>
        <v>T8</v>
      </c>
      <c r="C99" s="25">
        <f>'Test Completo'!G99</f>
        <v>14</v>
      </c>
      <c r="D99" s="26">
        <f>IF('Test Completo'!M99="","",'Test Completo'!M99)</f>
        <v>35.28</v>
      </c>
      <c r="E99" s="25">
        <f>IF('Test Completo'!I99="","",'Test Completo'!I99)</f>
        <v>1</v>
      </c>
      <c r="F99" s="26">
        <f>IF('Test Completo'!H99="","",'Test Completo'!H99)</f>
        <v>3.56</v>
      </c>
      <c r="G99" s="26">
        <f>IF('Test Completo'!L99="","",'Test Completo'!L99)</f>
        <v>9.82</v>
      </c>
      <c r="H99" s="26">
        <f>IF('Test Completo'!T99="","",'Test Completo'!T99)</f>
        <v>7.58</v>
      </c>
      <c r="I99" s="2" t="str">
        <f>IF('Test Completo'!M99="","non eseguita",IF(N('Test Completo'!M99)=0,"timeout",IF(OR(N('Test Completo'!H99)&lt;0,N('Test Completo'!L99)&lt;0),"tempi negativi",IF(N('Test Completo'!I99)&lt;1,"NavMesh non attivato",IF(N('Test Completo'!T99)&gt;INDEX('Piano del test'!$N$5:$N$13,MATCH(B99,'Piano del test'!$A$5:$A$13,0)),"blocco al totem",IF(OR(N('Test Completo'!M99)&gt;'Piano del test'!$C$19,N('Test Completo'!H99)&gt;'Piano del test'!$C$20),"oltre le soglie","riuscita"))))))</f>
        <v>riuscita</v>
      </c>
      <c r="J99" s="27">
        <f t="shared" si="3"/>
        <v>35.28</v>
      </c>
    </row>
    <row r="100" spans="1:10" x14ac:dyDescent="0.45">
      <c r="A100" s="25">
        <f>'Test Completo'!A100</f>
        <v>1395</v>
      </c>
      <c r="B100" s="2" t="str">
        <f>IFERROR(INDEX('Piano del test'!$A$5:$A$13,MATCH('Test Completo'!B100&amp;"|"&amp;'Test Completo'!C100&amp;"|"&amp;'Test Completo'!D100&amp;"|"&amp;'Test Completo'!E100,'Piano del test'!$R$5:$R$13,0)),"?")</f>
        <v>T9</v>
      </c>
      <c r="C100" s="25">
        <f>'Test Completo'!G100</f>
        <v>14</v>
      </c>
      <c r="D100" s="26">
        <f>IF('Test Completo'!M100="","",'Test Completo'!M100)</f>
        <v>37.24</v>
      </c>
      <c r="E100" s="25">
        <f>IF('Test Completo'!I100="","",'Test Completo'!I100)</f>
        <v>1</v>
      </c>
      <c r="F100" s="26">
        <f>IF('Test Completo'!H100="","",'Test Completo'!H100)</f>
        <v>2.08</v>
      </c>
      <c r="G100" s="26">
        <f>IF('Test Completo'!L100="","",'Test Completo'!L100)</f>
        <v>5.04</v>
      </c>
      <c r="H100" s="26">
        <f>IF('Test Completo'!T100="","",'Test Completo'!T100)</f>
        <v>2.08</v>
      </c>
      <c r="I100" s="2" t="str">
        <f>IF('Test Completo'!M100="","non eseguita",IF(N('Test Completo'!M100)=0,"timeout",IF(OR(N('Test Completo'!H100)&lt;0,N('Test Completo'!L100)&lt;0),"tempi negativi",IF(N('Test Completo'!I100)&lt;1,"NavMesh non attivato",IF(N('Test Completo'!T100)&gt;INDEX('Piano del test'!$N$5:$N$13,MATCH(B100,'Piano del test'!$A$5:$A$13,0)),"blocco al totem",IF(OR(N('Test Completo'!M100)&gt;'Piano del test'!$C$19,N('Test Completo'!H100)&gt;'Piano del test'!$C$20),"oltre le soglie","riuscita"))))))</f>
        <v>riuscita</v>
      </c>
      <c r="J100" s="27">
        <f t="shared" si="3"/>
        <v>37.24</v>
      </c>
    </row>
    <row r="101" spans="1:10" x14ac:dyDescent="0.45">
      <c r="A101" s="25">
        <f>'Test Completo'!A101</f>
        <v>1396</v>
      </c>
      <c r="B101" s="2" t="str">
        <f>IFERROR(INDEX('Piano del test'!$A$5:$A$13,MATCH('Test Completo'!B101&amp;"|"&amp;'Test Completo'!C101&amp;"|"&amp;'Test Completo'!D101&amp;"|"&amp;'Test Completo'!E101,'Piano del test'!$R$5:$R$13,0)),"?")</f>
        <v>T1</v>
      </c>
      <c r="C101" s="25">
        <f>'Test Completo'!G101</f>
        <v>15</v>
      </c>
      <c r="D101" s="26">
        <f>IF('Test Completo'!M101="","",'Test Completo'!M101)</f>
        <v>43.2</v>
      </c>
      <c r="E101" s="25">
        <f>IF('Test Completo'!I101="","",'Test Completo'!I101)</f>
        <v>1</v>
      </c>
      <c r="F101" s="26">
        <f>IF('Test Completo'!H101="","",'Test Completo'!H101)</f>
        <v>3.3</v>
      </c>
      <c r="G101" s="26">
        <f>IF('Test Completo'!L101="","",'Test Completo'!L101)</f>
        <v>19.62</v>
      </c>
      <c r="H101" s="26">
        <f>IF('Test Completo'!T101="","",'Test Completo'!T101)</f>
        <v>17.36</v>
      </c>
      <c r="I101" s="2" t="str">
        <f>IF('Test Completo'!M101="","non eseguita",IF(N('Test Completo'!M101)=0,"timeout",IF(OR(N('Test Completo'!H101)&lt;0,N('Test Completo'!L101)&lt;0),"tempi negativi",IF(N('Test Completo'!I101)&lt;1,"NavMesh non attivato",IF(N('Test Completo'!T101)&gt;INDEX('Piano del test'!$N$5:$N$13,MATCH(B101,'Piano del test'!$A$5:$A$13,0)),"blocco al totem",IF(OR(N('Test Completo'!M101)&gt;'Piano del test'!$C$19,N('Test Completo'!H101)&gt;'Piano del test'!$C$20),"oltre le soglie","riuscita"))))))</f>
        <v>blocco al totem</v>
      </c>
      <c r="J101" s="27">
        <f t="shared" si="3"/>
        <v>0</v>
      </c>
    </row>
    <row r="102" spans="1:10" x14ac:dyDescent="0.45">
      <c r="A102" s="25">
        <f>'Test Completo'!A102</f>
        <v>1397</v>
      </c>
      <c r="B102" s="2" t="str">
        <f>IFERROR(INDEX('Piano del test'!$A$5:$A$13,MATCH('Test Completo'!B102&amp;"|"&amp;'Test Completo'!C102&amp;"|"&amp;'Test Completo'!D102&amp;"|"&amp;'Test Completo'!E102,'Piano del test'!$R$5:$R$13,0)),"?")</f>
        <v>T2</v>
      </c>
      <c r="C102" s="25">
        <f>'Test Completo'!G102</f>
        <v>15</v>
      </c>
      <c r="D102" s="26">
        <f>IF('Test Completo'!M102="","",'Test Completo'!M102)</f>
        <v>26.28</v>
      </c>
      <c r="E102" s="25">
        <f>IF('Test Completo'!I102="","",'Test Completo'!I102)</f>
        <v>1</v>
      </c>
      <c r="F102" s="26">
        <f>IF('Test Completo'!H102="","",'Test Completo'!H102)</f>
        <v>3.16</v>
      </c>
      <c r="G102" s="26">
        <f>IF('Test Completo'!L102="","",'Test Completo'!L102)</f>
        <v>3.24</v>
      </c>
      <c r="H102" s="26">
        <f>IF('Test Completo'!T102="","",'Test Completo'!T102)</f>
        <v>0.98</v>
      </c>
      <c r="I102" s="2" t="str">
        <f>IF('Test Completo'!M102="","non eseguita",IF(N('Test Completo'!M102)=0,"timeout",IF(OR(N('Test Completo'!H102)&lt;0,N('Test Completo'!L102)&lt;0),"tempi negativi",IF(N('Test Completo'!I102)&lt;1,"NavMesh non attivato",IF(N('Test Completo'!T102)&gt;INDEX('Piano del test'!$N$5:$N$13,MATCH(B102,'Piano del test'!$A$5:$A$13,0)),"blocco al totem",IF(OR(N('Test Completo'!M102)&gt;'Piano del test'!$C$19,N('Test Completo'!H102)&gt;'Piano del test'!$C$20),"oltre le soglie","riuscita"))))))</f>
        <v>riuscita</v>
      </c>
      <c r="J102" s="27">
        <f t="shared" si="3"/>
        <v>26.28</v>
      </c>
    </row>
    <row r="103" spans="1:10" x14ac:dyDescent="0.45">
      <c r="A103" s="25">
        <f>'Test Completo'!A103</f>
        <v>1398</v>
      </c>
      <c r="B103" s="2" t="str">
        <f>IFERROR(INDEX('Piano del test'!$A$5:$A$13,MATCH('Test Completo'!B103&amp;"|"&amp;'Test Completo'!C103&amp;"|"&amp;'Test Completo'!D103&amp;"|"&amp;'Test Completo'!E103,'Piano del test'!$R$5:$R$13,0)),"?")</f>
        <v>T3</v>
      </c>
      <c r="C103" s="25">
        <f>'Test Completo'!G103</f>
        <v>15</v>
      </c>
      <c r="D103" s="26">
        <f>IF('Test Completo'!M103="","",'Test Completo'!M103)</f>
        <v>40.06</v>
      </c>
      <c r="E103" s="25">
        <f>IF('Test Completo'!I103="","",'Test Completo'!I103)</f>
        <v>1</v>
      </c>
      <c r="F103" s="26">
        <f>IF('Test Completo'!H103="","",'Test Completo'!H103)</f>
        <v>1.66</v>
      </c>
      <c r="G103" s="26">
        <f>IF('Test Completo'!L103="","",'Test Completo'!L103)</f>
        <v>9.6199999999999992</v>
      </c>
      <c r="H103" s="26">
        <f>IF('Test Completo'!T103="","",'Test Completo'!T103)</f>
        <v>4.82</v>
      </c>
      <c r="I103" s="2" t="str">
        <f>IF('Test Completo'!M103="","non eseguita",IF(N('Test Completo'!M103)=0,"timeout",IF(OR(N('Test Completo'!H103)&lt;0,N('Test Completo'!L103)&lt;0),"tempi negativi",IF(N('Test Completo'!I103)&lt;1,"NavMesh non attivato",IF(N('Test Completo'!T103)&gt;INDEX('Piano del test'!$N$5:$N$13,MATCH(B103,'Piano del test'!$A$5:$A$13,0)),"blocco al totem",IF(OR(N('Test Completo'!M103)&gt;'Piano del test'!$C$19,N('Test Completo'!H103)&gt;'Piano del test'!$C$20),"oltre le soglie","riuscita"))))))</f>
        <v>riuscita</v>
      </c>
      <c r="J103" s="27">
        <f t="shared" si="3"/>
        <v>40.06</v>
      </c>
    </row>
    <row r="104" spans="1:10" x14ac:dyDescent="0.45">
      <c r="A104" s="25">
        <f>'Test Completo'!A104</f>
        <v>1399</v>
      </c>
      <c r="B104" s="2" t="str">
        <f>IFERROR(INDEX('Piano del test'!$A$5:$A$13,MATCH('Test Completo'!B104&amp;"|"&amp;'Test Completo'!C104&amp;"|"&amp;'Test Completo'!D104&amp;"|"&amp;'Test Completo'!E104,'Piano del test'!$R$5:$R$13,0)),"?")</f>
        <v>T4</v>
      </c>
      <c r="C104" s="25">
        <f>'Test Completo'!G104</f>
        <v>15</v>
      </c>
      <c r="D104" s="26">
        <f>IF('Test Completo'!M104="","",'Test Completo'!M104)</f>
        <v>35.840000000000003</v>
      </c>
      <c r="E104" s="25">
        <f>IF('Test Completo'!I104="","",'Test Completo'!I104)</f>
        <v>1</v>
      </c>
      <c r="F104" s="26">
        <f>IF('Test Completo'!H104="","",'Test Completo'!H104)</f>
        <v>2.48</v>
      </c>
      <c r="G104" s="26">
        <f>IF('Test Completo'!L104="","",'Test Completo'!L104)</f>
        <v>9.64</v>
      </c>
      <c r="H104" s="26">
        <f>IF('Test Completo'!T104="","",'Test Completo'!T104)</f>
        <v>4.8</v>
      </c>
      <c r="I104" s="2" t="str">
        <f>IF('Test Completo'!M104="","non eseguita",IF(N('Test Completo'!M104)=0,"timeout",IF(OR(N('Test Completo'!H104)&lt;0,N('Test Completo'!L104)&lt;0),"tempi negativi",IF(N('Test Completo'!I104)&lt;1,"NavMesh non attivato",IF(N('Test Completo'!T104)&gt;INDEX('Piano del test'!$N$5:$N$13,MATCH(B104,'Piano del test'!$A$5:$A$13,0)),"blocco al totem",IF(OR(N('Test Completo'!M104)&gt;'Piano del test'!$C$19,N('Test Completo'!H104)&gt;'Piano del test'!$C$20),"oltre le soglie","riuscita"))))))</f>
        <v>riuscita</v>
      </c>
      <c r="J104" s="27">
        <f t="shared" si="3"/>
        <v>35.840000000000003</v>
      </c>
    </row>
    <row r="105" spans="1:10" x14ac:dyDescent="0.45">
      <c r="A105" s="25">
        <f>'Test Completo'!A105</f>
        <v>1400</v>
      </c>
      <c r="B105" s="2" t="str">
        <f>IFERROR(INDEX('Piano del test'!$A$5:$A$13,MATCH('Test Completo'!B105&amp;"|"&amp;'Test Completo'!C105&amp;"|"&amp;'Test Completo'!D105&amp;"|"&amp;'Test Completo'!E105,'Piano del test'!$R$5:$R$13,0)),"?")</f>
        <v>T5</v>
      </c>
      <c r="C105" s="25">
        <f>'Test Completo'!G105</f>
        <v>15</v>
      </c>
      <c r="D105" s="26">
        <f>IF('Test Completo'!M105="","",'Test Completo'!M105)</f>
        <v>30.74</v>
      </c>
      <c r="E105" s="25">
        <f>IF('Test Completo'!I105="","",'Test Completo'!I105)</f>
        <v>1</v>
      </c>
      <c r="F105" s="26">
        <f>IF('Test Completo'!H105="","",'Test Completo'!H105)</f>
        <v>2.1800000000000002</v>
      </c>
      <c r="G105" s="26">
        <f>IF('Test Completo'!L105="","",'Test Completo'!L105)</f>
        <v>9.64</v>
      </c>
      <c r="H105" s="26">
        <f>IF('Test Completo'!T105="","",'Test Completo'!T105)</f>
        <v>4.82</v>
      </c>
      <c r="I105" s="2" t="str">
        <f>IF('Test Completo'!M105="","non eseguita",IF(N('Test Completo'!M105)=0,"timeout",IF(OR(N('Test Completo'!H105)&lt;0,N('Test Completo'!L105)&lt;0),"tempi negativi",IF(N('Test Completo'!I105)&lt;1,"NavMesh non attivato",IF(N('Test Completo'!T105)&gt;INDEX('Piano del test'!$N$5:$N$13,MATCH(B105,'Piano del test'!$A$5:$A$13,0)),"blocco al totem",IF(OR(N('Test Completo'!M105)&gt;'Piano del test'!$C$19,N('Test Completo'!H105)&gt;'Piano del test'!$C$20),"oltre le soglie","riuscita"))))))</f>
        <v>riuscita</v>
      </c>
      <c r="J105" s="27">
        <f t="shared" si="3"/>
        <v>30.74</v>
      </c>
    </row>
    <row r="106" spans="1:10" x14ac:dyDescent="0.45">
      <c r="A106" s="25">
        <f>'Test Completo'!A106</f>
        <v>1401</v>
      </c>
      <c r="B106" s="2" t="str">
        <f>IFERROR(INDEX('Piano del test'!$A$5:$A$13,MATCH('Test Completo'!B106&amp;"|"&amp;'Test Completo'!C106&amp;"|"&amp;'Test Completo'!D106&amp;"|"&amp;'Test Completo'!E106,'Piano del test'!$R$5:$R$13,0)),"?")</f>
        <v>T6</v>
      </c>
      <c r="C106" s="25">
        <f>'Test Completo'!G106</f>
        <v>15</v>
      </c>
      <c r="D106" s="26">
        <f>IF('Test Completo'!M106="","",'Test Completo'!M106)</f>
        <v>35.979999999999997</v>
      </c>
      <c r="E106" s="25">
        <f>IF('Test Completo'!I106="","",'Test Completo'!I106)</f>
        <v>1</v>
      </c>
      <c r="F106" s="26">
        <f>IF('Test Completo'!H106="","",'Test Completo'!H106)</f>
        <v>3.26</v>
      </c>
      <c r="G106" s="26">
        <f>IF('Test Completo'!L106="","",'Test Completo'!L106)</f>
        <v>9.92</v>
      </c>
      <c r="H106" s="26">
        <f>IF('Test Completo'!T106="","",'Test Completo'!T106)</f>
        <v>7.6</v>
      </c>
      <c r="I106" s="2" t="str">
        <f>IF('Test Completo'!M106="","non eseguita",IF(N('Test Completo'!M106)=0,"timeout",IF(OR(N('Test Completo'!H106)&lt;0,N('Test Completo'!L106)&lt;0),"tempi negativi",IF(N('Test Completo'!I106)&lt;1,"NavMesh non attivato",IF(N('Test Completo'!T106)&gt;INDEX('Piano del test'!$N$5:$N$13,MATCH(B106,'Piano del test'!$A$5:$A$13,0)),"blocco al totem",IF(OR(N('Test Completo'!M106)&gt;'Piano del test'!$C$19,N('Test Completo'!H106)&gt;'Piano del test'!$C$20),"oltre le soglie","riuscita"))))))</f>
        <v>riuscita</v>
      </c>
      <c r="J106" s="27">
        <f t="shared" si="3"/>
        <v>35.979999999999997</v>
      </c>
    </row>
    <row r="107" spans="1:10" x14ac:dyDescent="0.45">
      <c r="A107" s="25">
        <f>'Test Completo'!A107</f>
        <v>1402</v>
      </c>
      <c r="B107" s="2" t="str">
        <f>IFERROR(INDEX('Piano del test'!$A$5:$A$13,MATCH('Test Completo'!B107&amp;"|"&amp;'Test Completo'!C107&amp;"|"&amp;'Test Completo'!D107&amp;"|"&amp;'Test Completo'!E107,'Piano del test'!$R$5:$R$13,0)),"?")</f>
        <v>T7</v>
      </c>
      <c r="C107" s="25">
        <f>'Test Completo'!G107</f>
        <v>15</v>
      </c>
      <c r="D107" s="26">
        <f>IF('Test Completo'!M107="","",'Test Completo'!M107)</f>
        <v>32.78</v>
      </c>
      <c r="E107" s="25">
        <f>IF('Test Completo'!I107="","",'Test Completo'!I107)</f>
        <v>1</v>
      </c>
      <c r="F107" s="26">
        <f>IF('Test Completo'!H107="","",'Test Completo'!H107)</f>
        <v>2.02</v>
      </c>
      <c r="G107" s="26">
        <f>IF('Test Completo'!L107="","",'Test Completo'!L107)</f>
        <v>9.6199999999999992</v>
      </c>
      <c r="H107" s="26">
        <f>IF('Test Completo'!T107="","",'Test Completo'!T107)</f>
        <v>4.78</v>
      </c>
      <c r="I107" s="2" t="str">
        <f>IF('Test Completo'!M107="","non eseguita",IF(N('Test Completo'!M107)=0,"timeout",IF(OR(N('Test Completo'!H107)&lt;0,N('Test Completo'!L107)&lt;0),"tempi negativi",IF(N('Test Completo'!I107)&lt;1,"NavMesh non attivato",IF(N('Test Completo'!T107)&gt;INDEX('Piano del test'!$N$5:$N$13,MATCH(B107,'Piano del test'!$A$5:$A$13,0)),"blocco al totem",IF(OR(N('Test Completo'!M107)&gt;'Piano del test'!$C$19,N('Test Completo'!H107)&gt;'Piano del test'!$C$20),"oltre le soglie","riuscita"))))))</f>
        <v>riuscita</v>
      </c>
      <c r="J107" s="27">
        <f t="shared" si="3"/>
        <v>32.78</v>
      </c>
    </row>
    <row r="108" spans="1:10" x14ac:dyDescent="0.45">
      <c r="A108" s="25">
        <f>'Test Completo'!A108</f>
        <v>1403</v>
      </c>
      <c r="B108" s="2" t="str">
        <f>IFERROR(INDEX('Piano del test'!$A$5:$A$13,MATCH('Test Completo'!B108&amp;"|"&amp;'Test Completo'!C108&amp;"|"&amp;'Test Completo'!D108&amp;"|"&amp;'Test Completo'!E108,'Piano del test'!$R$5:$R$13,0)),"?")</f>
        <v>T8</v>
      </c>
      <c r="C108" s="25">
        <f>'Test Completo'!G108</f>
        <v>15</v>
      </c>
      <c r="D108" s="26">
        <f>IF('Test Completo'!M108="","",'Test Completo'!M108)</f>
        <v>37.28</v>
      </c>
      <c r="E108" s="25">
        <f>IF('Test Completo'!I108="","",'Test Completo'!I108)</f>
        <v>1</v>
      </c>
      <c r="F108" s="26">
        <f>IF('Test Completo'!H108="","",'Test Completo'!H108)</f>
        <v>3.22</v>
      </c>
      <c r="G108" s="26">
        <f>IF('Test Completo'!L108="","",'Test Completo'!L108)</f>
        <v>13.62</v>
      </c>
      <c r="H108" s="26">
        <f>IF('Test Completo'!T108="","",'Test Completo'!T108)</f>
        <v>11.32</v>
      </c>
      <c r="I108" s="2" t="str">
        <f>IF('Test Completo'!M108="","non eseguita",IF(N('Test Completo'!M108)=0,"timeout",IF(OR(N('Test Completo'!H108)&lt;0,N('Test Completo'!L108)&lt;0),"tempi negativi",IF(N('Test Completo'!I108)&lt;1,"NavMesh non attivato",IF(N('Test Completo'!T108)&gt;INDEX('Piano del test'!$N$5:$N$13,MATCH(B108,'Piano del test'!$A$5:$A$13,0)),"blocco al totem",IF(OR(N('Test Completo'!M108)&gt;'Piano del test'!$C$19,N('Test Completo'!H108)&gt;'Piano del test'!$C$20),"oltre le soglie","riuscita"))))))</f>
        <v>blocco al totem</v>
      </c>
      <c r="J108" s="27">
        <f t="shared" si="3"/>
        <v>0</v>
      </c>
    </row>
    <row r="109" spans="1:10" x14ac:dyDescent="0.45">
      <c r="A109" s="25">
        <f>'Test Completo'!A109</f>
        <v>1404</v>
      </c>
      <c r="B109" s="2" t="str">
        <f>IFERROR(INDEX('Piano del test'!$A$5:$A$13,MATCH('Test Completo'!B109&amp;"|"&amp;'Test Completo'!C109&amp;"|"&amp;'Test Completo'!D109&amp;"|"&amp;'Test Completo'!E109,'Piano del test'!$R$5:$R$13,0)),"?")</f>
        <v>T9</v>
      </c>
      <c r="C109" s="25">
        <f>'Test Completo'!G109</f>
        <v>15</v>
      </c>
      <c r="D109" s="26">
        <f>IF('Test Completo'!M109="","",'Test Completo'!M109)</f>
        <v>31.94</v>
      </c>
      <c r="E109" s="25">
        <f>IF('Test Completo'!I109="","",'Test Completo'!I109)</f>
        <v>1</v>
      </c>
      <c r="F109" s="26">
        <f>IF('Test Completo'!H109="","",'Test Completo'!H109)</f>
        <v>1.84</v>
      </c>
      <c r="G109" s="26">
        <f>IF('Test Completo'!L109="","",'Test Completo'!L109)</f>
        <v>5.16</v>
      </c>
      <c r="H109" s="26">
        <f>IF('Test Completo'!T109="","",'Test Completo'!T109)</f>
        <v>2.16</v>
      </c>
      <c r="I109" s="2" t="str">
        <f>IF('Test Completo'!M109="","non eseguita",IF(N('Test Completo'!M109)=0,"timeout",IF(OR(N('Test Completo'!H109)&lt;0,N('Test Completo'!L109)&lt;0),"tempi negativi",IF(N('Test Completo'!I109)&lt;1,"NavMesh non attivato",IF(N('Test Completo'!T109)&gt;INDEX('Piano del test'!$N$5:$N$13,MATCH(B109,'Piano del test'!$A$5:$A$13,0)),"blocco al totem",IF(OR(N('Test Completo'!M109)&gt;'Piano del test'!$C$19,N('Test Completo'!H109)&gt;'Piano del test'!$C$20),"oltre le soglie","riuscita"))))))</f>
        <v>riuscita</v>
      </c>
      <c r="J109" s="27">
        <f t="shared" si="3"/>
        <v>31.94</v>
      </c>
    </row>
    <row r="110" spans="1:10" x14ac:dyDescent="0.45">
      <c r="A110" s="25">
        <f>'Test Completo'!A110</f>
        <v>1405</v>
      </c>
      <c r="B110" s="2" t="str">
        <f>IFERROR(INDEX('Piano del test'!$A$5:$A$13,MATCH('Test Completo'!B110&amp;"|"&amp;'Test Completo'!C110&amp;"|"&amp;'Test Completo'!D110&amp;"|"&amp;'Test Completo'!E110,'Piano del test'!$R$5:$R$13,0)),"?")</f>
        <v>T1</v>
      </c>
      <c r="C110" s="25">
        <f>'Test Completo'!G110</f>
        <v>16</v>
      </c>
      <c r="D110" s="26">
        <f>IF('Test Completo'!M110="","",'Test Completo'!M110)</f>
        <v>53.14</v>
      </c>
      <c r="E110" s="25">
        <f>IF('Test Completo'!I110="","",'Test Completo'!I110)</f>
        <v>1</v>
      </c>
      <c r="F110" s="26">
        <f>IF('Test Completo'!H110="","",'Test Completo'!H110)</f>
        <v>3.2</v>
      </c>
      <c r="G110" s="26">
        <f>IF('Test Completo'!L110="","",'Test Completo'!L110)</f>
        <v>29.92</v>
      </c>
      <c r="H110" s="26">
        <f>IF('Test Completo'!T110="","",'Test Completo'!T110)</f>
        <v>27.66</v>
      </c>
      <c r="I110" s="2" t="str">
        <f>IF('Test Completo'!M110="","non eseguita",IF(N('Test Completo'!M110)=0,"timeout",IF(OR(N('Test Completo'!H110)&lt;0,N('Test Completo'!L110)&lt;0),"tempi negativi",IF(N('Test Completo'!I110)&lt;1,"NavMesh non attivato",IF(N('Test Completo'!T110)&gt;INDEX('Piano del test'!$N$5:$N$13,MATCH(B110,'Piano del test'!$A$5:$A$13,0)),"blocco al totem",IF(OR(N('Test Completo'!M110)&gt;'Piano del test'!$C$19,N('Test Completo'!H110)&gt;'Piano del test'!$C$20),"oltre le soglie","riuscita"))))))</f>
        <v>blocco al totem</v>
      </c>
      <c r="J110" s="27">
        <f t="shared" si="3"/>
        <v>0</v>
      </c>
    </row>
    <row r="111" spans="1:10" x14ac:dyDescent="0.45">
      <c r="A111" s="25">
        <f>'Test Completo'!A111</f>
        <v>1406</v>
      </c>
      <c r="B111" s="2" t="str">
        <f>IFERROR(INDEX('Piano del test'!$A$5:$A$13,MATCH('Test Completo'!B111&amp;"|"&amp;'Test Completo'!C111&amp;"|"&amp;'Test Completo'!D111&amp;"|"&amp;'Test Completo'!E111,'Piano del test'!$R$5:$R$13,0)),"?")</f>
        <v>T2</v>
      </c>
      <c r="C111" s="25">
        <f>'Test Completo'!G111</f>
        <v>16</v>
      </c>
      <c r="D111" s="26">
        <f>IF('Test Completo'!M111="","",'Test Completo'!M111)</f>
        <v>33.24</v>
      </c>
      <c r="E111" s="25">
        <f>IF('Test Completo'!I111="","",'Test Completo'!I111)</f>
        <v>1</v>
      </c>
      <c r="F111" s="26">
        <f>IF('Test Completo'!H111="","",'Test Completo'!H111)</f>
        <v>3.32</v>
      </c>
      <c r="G111" s="26">
        <f>IF('Test Completo'!L111="","",'Test Completo'!L111)</f>
        <v>7.8</v>
      </c>
      <c r="H111" s="26">
        <f>IF('Test Completo'!T111="","",'Test Completo'!T111)</f>
        <v>5.56</v>
      </c>
      <c r="I111" s="2" t="str">
        <f>IF('Test Completo'!M111="","non eseguita",IF(N('Test Completo'!M111)=0,"timeout",IF(OR(N('Test Completo'!H111)&lt;0,N('Test Completo'!L111)&lt;0),"tempi negativi",IF(N('Test Completo'!I111)&lt;1,"NavMesh non attivato",IF(N('Test Completo'!T111)&gt;INDEX('Piano del test'!$N$5:$N$13,MATCH(B111,'Piano del test'!$A$5:$A$13,0)),"blocco al totem",IF(OR(N('Test Completo'!M111)&gt;'Piano del test'!$C$19,N('Test Completo'!H111)&gt;'Piano del test'!$C$20),"oltre le soglie","riuscita"))))))</f>
        <v>riuscita</v>
      </c>
      <c r="J111" s="27">
        <f t="shared" si="3"/>
        <v>33.24</v>
      </c>
    </row>
    <row r="112" spans="1:10" x14ac:dyDescent="0.45">
      <c r="A112" s="25">
        <f>'Test Completo'!A112</f>
        <v>1407</v>
      </c>
      <c r="B112" s="2" t="str">
        <f>IFERROR(INDEX('Piano del test'!$A$5:$A$13,MATCH('Test Completo'!B112&amp;"|"&amp;'Test Completo'!C112&amp;"|"&amp;'Test Completo'!D112&amp;"|"&amp;'Test Completo'!E112,'Piano del test'!$R$5:$R$13,0)),"?")</f>
        <v>T3</v>
      </c>
      <c r="C112" s="25">
        <f>'Test Completo'!G112</f>
        <v>16</v>
      </c>
      <c r="D112" s="26">
        <f>IF('Test Completo'!M112="","",'Test Completo'!M112)</f>
        <v>36.26</v>
      </c>
      <c r="E112" s="25">
        <f>IF('Test Completo'!I112="","",'Test Completo'!I112)</f>
        <v>1</v>
      </c>
      <c r="F112" s="26">
        <f>IF('Test Completo'!H112="","",'Test Completo'!H112)</f>
        <v>1.1399999999999999</v>
      </c>
      <c r="G112" s="26">
        <f>IF('Test Completo'!L112="","",'Test Completo'!L112)</f>
        <v>9.64</v>
      </c>
      <c r="H112" s="26">
        <f>IF('Test Completo'!T112="","",'Test Completo'!T112)</f>
        <v>4.82</v>
      </c>
      <c r="I112" s="2" t="str">
        <f>IF('Test Completo'!M112="","non eseguita",IF(N('Test Completo'!M112)=0,"timeout",IF(OR(N('Test Completo'!H112)&lt;0,N('Test Completo'!L112)&lt;0),"tempi negativi",IF(N('Test Completo'!I112)&lt;1,"NavMesh non attivato",IF(N('Test Completo'!T112)&gt;INDEX('Piano del test'!$N$5:$N$13,MATCH(B112,'Piano del test'!$A$5:$A$13,0)),"blocco al totem",IF(OR(N('Test Completo'!M112)&gt;'Piano del test'!$C$19,N('Test Completo'!H112)&gt;'Piano del test'!$C$20),"oltre le soglie","riuscita"))))))</f>
        <v>riuscita</v>
      </c>
      <c r="J112" s="27">
        <f t="shared" si="3"/>
        <v>36.26</v>
      </c>
    </row>
    <row r="113" spans="1:10" x14ac:dyDescent="0.45">
      <c r="A113" s="25">
        <f>'Test Completo'!A113</f>
        <v>1408</v>
      </c>
      <c r="B113" s="2" t="str">
        <f>IFERROR(INDEX('Piano del test'!$A$5:$A$13,MATCH('Test Completo'!B113&amp;"|"&amp;'Test Completo'!C113&amp;"|"&amp;'Test Completo'!D113&amp;"|"&amp;'Test Completo'!E113,'Piano del test'!$R$5:$R$13,0)),"?")</f>
        <v>T4</v>
      </c>
      <c r="C113" s="25">
        <f>'Test Completo'!G113</f>
        <v>16</v>
      </c>
      <c r="D113" s="26">
        <f>IF('Test Completo'!M113="","",'Test Completo'!M113)</f>
        <v>34.22</v>
      </c>
      <c r="E113" s="25">
        <f>IF('Test Completo'!I113="","",'Test Completo'!I113)</f>
        <v>1</v>
      </c>
      <c r="F113" s="26">
        <f>IF('Test Completo'!H113="","",'Test Completo'!H113)</f>
        <v>1.8</v>
      </c>
      <c r="G113" s="26">
        <f>IF('Test Completo'!L113="","",'Test Completo'!L113)</f>
        <v>9.6999999999999993</v>
      </c>
      <c r="H113" s="26">
        <f>IF('Test Completo'!T113="","",'Test Completo'!T113)</f>
        <v>4.84</v>
      </c>
      <c r="I113" s="2" t="str">
        <f>IF('Test Completo'!M113="","non eseguita",IF(N('Test Completo'!M113)=0,"timeout",IF(OR(N('Test Completo'!H113)&lt;0,N('Test Completo'!L113)&lt;0),"tempi negativi",IF(N('Test Completo'!I113)&lt;1,"NavMesh non attivato",IF(N('Test Completo'!T113)&gt;INDEX('Piano del test'!$N$5:$N$13,MATCH(B113,'Piano del test'!$A$5:$A$13,0)),"blocco al totem",IF(OR(N('Test Completo'!M113)&gt;'Piano del test'!$C$19,N('Test Completo'!H113)&gt;'Piano del test'!$C$20),"oltre le soglie","riuscita"))))))</f>
        <v>riuscita</v>
      </c>
      <c r="J113" s="27">
        <f t="shared" si="3"/>
        <v>34.22</v>
      </c>
    </row>
    <row r="114" spans="1:10" x14ac:dyDescent="0.45">
      <c r="A114" s="25">
        <f>'Test Completo'!A114</f>
        <v>1409</v>
      </c>
      <c r="B114" s="2" t="str">
        <f>IFERROR(INDEX('Piano del test'!$A$5:$A$13,MATCH('Test Completo'!B114&amp;"|"&amp;'Test Completo'!C114&amp;"|"&amp;'Test Completo'!D114&amp;"|"&amp;'Test Completo'!E114,'Piano del test'!$R$5:$R$13,0)),"?")</f>
        <v>T5</v>
      </c>
      <c r="C114" s="25">
        <f>'Test Completo'!G114</f>
        <v>16</v>
      </c>
      <c r="D114" s="26">
        <f>IF('Test Completo'!M114="","",'Test Completo'!M114)</f>
        <v>32.020000000000003</v>
      </c>
      <c r="E114" s="25">
        <f>IF('Test Completo'!I114="","",'Test Completo'!I114)</f>
        <v>1</v>
      </c>
      <c r="F114" s="26">
        <f>IF('Test Completo'!H114="","",'Test Completo'!H114)</f>
        <v>1.4</v>
      </c>
      <c r="G114" s="26">
        <f>IF('Test Completo'!L114="","",'Test Completo'!L114)</f>
        <v>9.68</v>
      </c>
      <c r="H114" s="26">
        <f>IF('Test Completo'!T114="","",'Test Completo'!T114)</f>
        <v>4.84</v>
      </c>
      <c r="I114" s="2" t="str">
        <f>IF('Test Completo'!M114="","non eseguita",IF(N('Test Completo'!M114)=0,"timeout",IF(OR(N('Test Completo'!H114)&lt;0,N('Test Completo'!L114)&lt;0),"tempi negativi",IF(N('Test Completo'!I114)&lt;1,"NavMesh non attivato",IF(N('Test Completo'!T114)&gt;INDEX('Piano del test'!$N$5:$N$13,MATCH(B114,'Piano del test'!$A$5:$A$13,0)),"blocco al totem",IF(OR(N('Test Completo'!M114)&gt;'Piano del test'!$C$19,N('Test Completo'!H114)&gt;'Piano del test'!$C$20),"oltre le soglie","riuscita"))))))</f>
        <v>riuscita</v>
      </c>
      <c r="J114" s="27">
        <f t="shared" si="3"/>
        <v>32.020000000000003</v>
      </c>
    </row>
    <row r="115" spans="1:10" x14ac:dyDescent="0.45">
      <c r="A115" s="25">
        <f>'Test Completo'!A115</f>
        <v>1410</v>
      </c>
      <c r="B115" s="2" t="str">
        <f>IFERROR(INDEX('Piano del test'!$A$5:$A$13,MATCH('Test Completo'!B115&amp;"|"&amp;'Test Completo'!C115&amp;"|"&amp;'Test Completo'!D115&amp;"|"&amp;'Test Completo'!E115,'Piano del test'!$R$5:$R$13,0)),"?")</f>
        <v>T6</v>
      </c>
      <c r="C115" s="25">
        <f>'Test Completo'!G115</f>
        <v>16</v>
      </c>
      <c r="D115" s="26">
        <f>IF('Test Completo'!M115="","",'Test Completo'!M115)</f>
        <v>49.42</v>
      </c>
      <c r="E115" s="25">
        <f>IF('Test Completo'!I115="","",'Test Completo'!I115)</f>
        <v>1</v>
      </c>
      <c r="F115" s="26">
        <f>IF('Test Completo'!H115="","",'Test Completo'!H115)</f>
        <v>3.18</v>
      </c>
      <c r="G115" s="26">
        <f>IF('Test Completo'!L115="","",'Test Completo'!L115)</f>
        <v>26.46</v>
      </c>
      <c r="H115" s="26">
        <f>IF('Test Completo'!T115="","",'Test Completo'!T115)</f>
        <v>24.22</v>
      </c>
      <c r="I115" s="2" t="str">
        <f>IF('Test Completo'!M115="","non eseguita",IF(N('Test Completo'!M115)=0,"timeout",IF(OR(N('Test Completo'!H115)&lt;0,N('Test Completo'!L115)&lt;0),"tempi negativi",IF(N('Test Completo'!I115)&lt;1,"NavMesh non attivato",IF(N('Test Completo'!T115)&gt;INDEX('Piano del test'!$N$5:$N$13,MATCH(B115,'Piano del test'!$A$5:$A$13,0)),"blocco al totem",IF(OR(N('Test Completo'!M115)&gt;'Piano del test'!$C$19,N('Test Completo'!H115)&gt;'Piano del test'!$C$20),"oltre le soglie","riuscita"))))))</f>
        <v>blocco al totem</v>
      </c>
      <c r="J115" s="27">
        <f t="shared" si="3"/>
        <v>0</v>
      </c>
    </row>
    <row r="116" spans="1:10" x14ac:dyDescent="0.45">
      <c r="A116" s="25">
        <f>'Test Completo'!A116</f>
        <v>1411</v>
      </c>
      <c r="B116" s="2" t="str">
        <f>IFERROR(INDEX('Piano del test'!$A$5:$A$13,MATCH('Test Completo'!B116&amp;"|"&amp;'Test Completo'!C116&amp;"|"&amp;'Test Completo'!D116&amp;"|"&amp;'Test Completo'!E116,'Piano del test'!$R$5:$R$13,0)),"?")</f>
        <v>T7</v>
      </c>
      <c r="C116" s="25">
        <f>'Test Completo'!G116</f>
        <v>16</v>
      </c>
      <c r="D116" s="26">
        <f>IF('Test Completo'!M116="","",'Test Completo'!M116)</f>
        <v>33.18</v>
      </c>
      <c r="E116" s="25">
        <f>IF('Test Completo'!I116="","",'Test Completo'!I116)</f>
        <v>1</v>
      </c>
      <c r="F116" s="26">
        <f>IF('Test Completo'!H116="","",'Test Completo'!H116)</f>
        <v>2.02</v>
      </c>
      <c r="G116" s="26">
        <f>IF('Test Completo'!L116="","",'Test Completo'!L116)</f>
        <v>9.7799999999999994</v>
      </c>
      <c r="H116" s="26">
        <f>IF('Test Completo'!T116="","",'Test Completo'!T116)</f>
        <v>4.84</v>
      </c>
      <c r="I116" s="2" t="str">
        <f>IF('Test Completo'!M116="","non eseguita",IF(N('Test Completo'!M116)=0,"timeout",IF(OR(N('Test Completo'!H116)&lt;0,N('Test Completo'!L116)&lt;0),"tempi negativi",IF(N('Test Completo'!I116)&lt;1,"NavMesh non attivato",IF(N('Test Completo'!T116)&gt;INDEX('Piano del test'!$N$5:$N$13,MATCH(B116,'Piano del test'!$A$5:$A$13,0)),"blocco al totem",IF(OR(N('Test Completo'!M116)&gt;'Piano del test'!$C$19,N('Test Completo'!H116)&gt;'Piano del test'!$C$20),"oltre le soglie","riuscita"))))))</f>
        <v>riuscita</v>
      </c>
      <c r="J116" s="27">
        <f t="shared" si="3"/>
        <v>33.18</v>
      </c>
    </row>
    <row r="117" spans="1:10" x14ac:dyDescent="0.45">
      <c r="A117" s="25">
        <f>'Test Completo'!A117</f>
        <v>1412</v>
      </c>
      <c r="B117" s="2" t="str">
        <f>IFERROR(INDEX('Piano del test'!$A$5:$A$13,MATCH('Test Completo'!B117&amp;"|"&amp;'Test Completo'!C117&amp;"|"&amp;'Test Completo'!D117&amp;"|"&amp;'Test Completo'!E117,'Piano del test'!$R$5:$R$13,0)),"?")</f>
        <v>T8</v>
      </c>
      <c r="C117" s="25">
        <f>'Test Completo'!G117</f>
        <v>16</v>
      </c>
      <c r="D117" s="26">
        <f>IF('Test Completo'!M117="","",'Test Completo'!M117)</f>
        <v>37.08</v>
      </c>
      <c r="E117" s="25">
        <f>IF('Test Completo'!I117="","",'Test Completo'!I117)</f>
        <v>1</v>
      </c>
      <c r="F117" s="26">
        <f>IF('Test Completo'!H117="","",'Test Completo'!H117)</f>
        <v>4.4400000000000004</v>
      </c>
      <c r="G117" s="26">
        <f>IF('Test Completo'!L117="","",'Test Completo'!L117)</f>
        <v>3.4</v>
      </c>
      <c r="H117" s="26">
        <f>IF('Test Completo'!T117="","",'Test Completo'!T117)</f>
        <v>1.02</v>
      </c>
      <c r="I117" s="2" t="str">
        <f>IF('Test Completo'!M117="","non eseguita",IF(N('Test Completo'!M117)=0,"timeout",IF(OR(N('Test Completo'!H117)&lt;0,N('Test Completo'!L117)&lt;0),"tempi negativi",IF(N('Test Completo'!I117)&lt;1,"NavMesh non attivato",IF(N('Test Completo'!T117)&gt;INDEX('Piano del test'!$N$5:$N$13,MATCH(B117,'Piano del test'!$A$5:$A$13,0)),"blocco al totem",IF(OR(N('Test Completo'!M117)&gt;'Piano del test'!$C$19,N('Test Completo'!H117)&gt;'Piano del test'!$C$20),"oltre le soglie","riuscita"))))))</f>
        <v>riuscita</v>
      </c>
      <c r="J117" s="27">
        <f t="shared" si="3"/>
        <v>37.08</v>
      </c>
    </row>
    <row r="118" spans="1:10" x14ac:dyDescent="0.45">
      <c r="A118" s="25">
        <f>'Test Completo'!A118</f>
        <v>1413</v>
      </c>
      <c r="B118" s="2" t="str">
        <f>IFERROR(INDEX('Piano del test'!$A$5:$A$13,MATCH('Test Completo'!B118&amp;"|"&amp;'Test Completo'!C118&amp;"|"&amp;'Test Completo'!D118&amp;"|"&amp;'Test Completo'!E118,'Piano del test'!$R$5:$R$13,0)),"?")</f>
        <v>T9</v>
      </c>
      <c r="C118" s="25">
        <f>'Test Completo'!G118</f>
        <v>16</v>
      </c>
      <c r="D118" s="26">
        <f>IF('Test Completo'!M118="","",'Test Completo'!M118)</f>
        <v>31.08</v>
      </c>
      <c r="E118" s="25">
        <f>IF('Test Completo'!I118="","",'Test Completo'!I118)</f>
        <v>1</v>
      </c>
      <c r="F118" s="26">
        <f>IF('Test Completo'!H118="","",'Test Completo'!H118)</f>
        <v>1.72</v>
      </c>
      <c r="G118" s="26">
        <f>IF('Test Completo'!L118="","",'Test Completo'!L118)</f>
        <v>5.24</v>
      </c>
      <c r="H118" s="26">
        <f>IF('Test Completo'!T118="","",'Test Completo'!T118)</f>
        <v>2.14</v>
      </c>
      <c r="I118" s="2" t="str">
        <f>IF('Test Completo'!M118="","non eseguita",IF(N('Test Completo'!M118)=0,"timeout",IF(OR(N('Test Completo'!H118)&lt;0,N('Test Completo'!L118)&lt;0),"tempi negativi",IF(N('Test Completo'!I118)&lt;1,"NavMesh non attivato",IF(N('Test Completo'!T118)&gt;INDEX('Piano del test'!$N$5:$N$13,MATCH(B118,'Piano del test'!$A$5:$A$13,0)),"blocco al totem",IF(OR(N('Test Completo'!M118)&gt;'Piano del test'!$C$19,N('Test Completo'!H118)&gt;'Piano del test'!$C$20),"oltre le soglie","riuscita"))))))</f>
        <v>riuscita</v>
      </c>
      <c r="J118" s="27">
        <f t="shared" si="3"/>
        <v>31.08</v>
      </c>
    </row>
    <row r="119" spans="1:10" x14ac:dyDescent="0.45">
      <c r="A119" s="25">
        <f>'Test Completo'!A119</f>
        <v>1414</v>
      </c>
      <c r="B119" s="2" t="str">
        <f>IFERROR(INDEX('Piano del test'!$A$5:$A$13,MATCH('Test Completo'!B119&amp;"|"&amp;'Test Completo'!C119&amp;"|"&amp;'Test Completo'!D119&amp;"|"&amp;'Test Completo'!E119,'Piano del test'!$R$5:$R$13,0)),"?")</f>
        <v>T1</v>
      </c>
      <c r="C119" s="25">
        <f>'Test Completo'!G119</f>
        <v>17</v>
      </c>
      <c r="D119" s="26">
        <f>IF('Test Completo'!M119="","",'Test Completo'!M119)</f>
        <v>33.1</v>
      </c>
      <c r="E119" s="25">
        <f>IF('Test Completo'!I119="","",'Test Completo'!I119)</f>
        <v>1</v>
      </c>
      <c r="F119" s="26">
        <f>IF('Test Completo'!H119="","",'Test Completo'!H119)</f>
        <v>3.32</v>
      </c>
      <c r="G119" s="26">
        <f>IF('Test Completo'!L119="","",'Test Completo'!L119)</f>
        <v>7.82</v>
      </c>
      <c r="H119" s="26">
        <f>IF('Test Completo'!T119="","",'Test Completo'!T119)</f>
        <v>5.56</v>
      </c>
      <c r="I119" s="2" t="str">
        <f>IF('Test Completo'!M119="","non eseguita",IF(N('Test Completo'!M119)=0,"timeout",IF(OR(N('Test Completo'!H119)&lt;0,N('Test Completo'!L119)&lt;0),"tempi negativi",IF(N('Test Completo'!I119)&lt;1,"NavMesh non attivato",IF(N('Test Completo'!T119)&gt;INDEX('Piano del test'!$N$5:$N$13,MATCH(B119,'Piano del test'!$A$5:$A$13,0)),"blocco al totem",IF(OR(N('Test Completo'!M119)&gt;'Piano del test'!$C$19,N('Test Completo'!H119)&gt;'Piano del test'!$C$20),"oltre le soglie","riuscita"))))))</f>
        <v>riuscita</v>
      </c>
      <c r="J119" s="27">
        <f t="shared" si="3"/>
        <v>33.1</v>
      </c>
    </row>
    <row r="120" spans="1:10" x14ac:dyDescent="0.45">
      <c r="A120" s="25">
        <f>'Test Completo'!A120</f>
        <v>1415</v>
      </c>
      <c r="B120" s="2" t="str">
        <f>IFERROR(INDEX('Piano del test'!$A$5:$A$13,MATCH('Test Completo'!B120&amp;"|"&amp;'Test Completo'!C120&amp;"|"&amp;'Test Completo'!D120&amp;"|"&amp;'Test Completo'!E120,'Piano del test'!$R$5:$R$13,0)),"?")</f>
        <v>T2</v>
      </c>
      <c r="C120" s="25">
        <f>'Test Completo'!G120</f>
        <v>17</v>
      </c>
      <c r="D120" s="26">
        <f>IF('Test Completo'!M120="","",'Test Completo'!M120)</f>
        <v>29.58</v>
      </c>
      <c r="E120" s="25">
        <f>IF('Test Completo'!I120="","",'Test Completo'!I120)</f>
        <v>1</v>
      </c>
      <c r="F120" s="26">
        <f>IF('Test Completo'!H120="","",'Test Completo'!H120)</f>
        <v>4.4400000000000004</v>
      </c>
      <c r="G120" s="26">
        <f>IF('Test Completo'!L120="","",'Test Completo'!L120)</f>
        <v>3.32</v>
      </c>
      <c r="H120" s="26">
        <f>IF('Test Completo'!T120="","",'Test Completo'!T120)</f>
        <v>1.02</v>
      </c>
      <c r="I120" s="2" t="str">
        <f>IF('Test Completo'!M120="","non eseguita",IF(N('Test Completo'!M120)=0,"timeout",IF(OR(N('Test Completo'!H120)&lt;0,N('Test Completo'!L120)&lt;0),"tempi negativi",IF(N('Test Completo'!I120)&lt;1,"NavMesh non attivato",IF(N('Test Completo'!T120)&gt;INDEX('Piano del test'!$N$5:$N$13,MATCH(B120,'Piano del test'!$A$5:$A$13,0)),"blocco al totem",IF(OR(N('Test Completo'!M120)&gt;'Piano del test'!$C$19,N('Test Completo'!H120)&gt;'Piano del test'!$C$20),"oltre le soglie","riuscita"))))))</f>
        <v>riuscita</v>
      </c>
      <c r="J120" s="27">
        <f t="shared" si="3"/>
        <v>29.58</v>
      </c>
    </row>
    <row r="121" spans="1:10" x14ac:dyDescent="0.45">
      <c r="A121" s="25">
        <f>'Test Completo'!A121</f>
        <v>1416</v>
      </c>
      <c r="B121" s="2" t="str">
        <f>IFERROR(INDEX('Piano del test'!$A$5:$A$13,MATCH('Test Completo'!B121&amp;"|"&amp;'Test Completo'!C121&amp;"|"&amp;'Test Completo'!D121&amp;"|"&amp;'Test Completo'!E121,'Piano del test'!$R$5:$R$13,0)),"?")</f>
        <v>T3</v>
      </c>
      <c r="C121" s="25">
        <f>'Test Completo'!G121</f>
        <v>17</v>
      </c>
      <c r="D121" s="26">
        <f>IF('Test Completo'!M121="","",'Test Completo'!M121)</f>
        <v>31.06</v>
      </c>
      <c r="E121" s="25">
        <f>IF('Test Completo'!I121="","",'Test Completo'!I121)</f>
        <v>1</v>
      </c>
      <c r="F121" s="26">
        <f>IF('Test Completo'!H121="","",'Test Completo'!H121)</f>
        <v>1.34</v>
      </c>
      <c r="G121" s="26">
        <f>IF('Test Completo'!L121="","",'Test Completo'!L121)</f>
        <v>9.56</v>
      </c>
      <c r="H121" s="26">
        <f>IF('Test Completo'!T121="","",'Test Completo'!T121)</f>
        <v>4.76</v>
      </c>
      <c r="I121" s="2" t="str">
        <f>IF('Test Completo'!M121="","non eseguita",IF(N('Test Completo'!M121)=0,"timeout",IF(OR(N('Test Completo'!H121)&lt;0,N('Test Completo'!L121)&lt;0),"tempi negativi",IF(N('Test Completo'!I121)&lt;1,"NavMesh non attivato",IF(N('Test Completo'!T121)&gt;INDEX('Piano del test'!$N$5:$N$13,MATCH(B121,'Piano del test'!$A$5:$A$13,0)),"blocco al totem",IF(OR(N('Test Completo'!M121)&gt;'Piano del test'!$C$19,N('Test Completo'!H121)&gt;'Piano del test'!$C$20),"oltre le soglie","riuscita"))))))</f>
        <v>riuscita</v>
      </c>
      <c r="J121" s="27">
        <f t="shared" si="3"/>
        <v>31.06</v>
      </c>
    </row>
    <row r="122" spans="1:10" x14ac:dyDescent="0.45">
      <c r="A122" s="25">
        <f>'Test Completo'!A122</f>
        <v>1417</v>
      </c>
      <c r="B122" s="2" t="str">
        <f>IFERROR(INDEX('Piano del test'!$A$5:$A$13,MATCH('Test Completo'!B122&amp;"|"&amp;'Test Completo'!C122&amp;"|"&amp;'Test Completo'!D122&amp;"|"&amp;'Test Completo'!E122,'Piano del test'!$R$5:$R$13,0)),"?")</f>
        <v>T4</v>
      </c>
      <c r="C122" s="25">
        <f>'Test Completo'!G122</f>
        <v>17</v>
      </c>
      <c r="D122" s="26">
        <f>IF('Test Completo'!M122="","",'Test Completo'!M122)</f>
        <v>33.86</v>
      </c>
      <c r="E122" s="25">
        <f>IF('Test Completo'!I122="","",'Test Completo'!I122)</f>
        <v>1</v>
      </c>
      <c r="F122" s="26">
        <f>IF('Test Completo'!H122="","",'Test Completo'!H122)</f>
        <v>1.64</v>
      </c>
      <c r="G122" s="26">
        <f>IF('Test Completo'!L122="","",'Test Completo'!L122)</f>
        <v>9.64</v>
      </c>
      <c r="H122" s="26">
        <f>IF('Test Completo'!T122="","",'Test Completo'!T122)</f>
        <v>4.8</v>
      </c>
      <c r="I122" s="2" t="str">
        <f>IF('Test Completo'!M122="","non eseguita",IF(N('Test Completo'!M122)=0,"timeout",IF(OR(N('Test Completo'!H122)&lt;0,N('Test Completo'!L122)&lt;0),"tempi negativi",IF(N('Test Completo'!I122)&lt;1,"NavMesh non attivato",IF(N('Test Completo'!T122)&gt;INDEX('Piano del test'!$N$5:$N$13,MATCH(B122,'Piano del test'!$A$5:$A$13,0)),"blocco al totem",IF(OR(N('Test Completo'!M122)&gt;'Piano del test'!$C$19,N('Test Completo'!H122)&gt;'Piano del test'!$C$20),"oltre le soglie","riuscita"))))))</f>
        <v>riuscita</v>
      </c>
      <c r="J122" s="27">
        <f t="shared" si="3"/>
        <v>33.86</v>
      </c>
    </row>
    <row r="123" spans="1:10" x14ac:dyDescent="0.45">
      <c r="A123" s="25">
        <f>'Test Completo'!A123</f>
        <v>1418</v>
      </c>
      <c r="B123" s="2" t="str">
        <f>IFERROR(INDEX('Piano del test'!$A$5:$A$13,MATCH('Test Completo'!B123&amp;"|"&amp;'Test Completo'!C123&amp;"|"&amp;'Test Completo'!D123&amp;"|"&amp;'Test Completo'!E123,'Piano del test'!$R$5:$R$13,0)),"?")</f>
        <v>T5</v>
      </c>
      <c r="C123" s="25">
        <f>'Test Completo'!G123</f>
        <v>17</v>
      </c>
      <c r="D123" s="26">
        <f>IF('Test Completo'!M123="","",'Test Completo'!M123)</f>
        <v>29.86</v>
      </c>
      <c r="E123" s="25">
        <f>IF('Test Completo'!I123="","",'Test Completo'!I123)</f>
        <v>1</v>
      </c>
      <c r="F123" s="26">
        <f>IF('Test Completo'!H123="","",'Test Completo'!H123)</f>
        <v>1.34</v>
      </c>
      <c r="G123" s="26">
        <f>IF('Test Completo'!L123="","",'Test Completo'!L123)</f>
        <v>9.68</v>
      </c>
      <c r="H123" s="26">
        <f>IF('Test Completo'!T123="","",'Test Completo'!T123)</f>
        <v>4.9000000000000004</v>
      </c>
      <c r="I123" s="2" t="str">
        <f>IF('Test Completo'!M123="","non eseguita",IF(N('Test Completo'!M123)=0,"timeout",IF(OR(N('Test Completo'!H123)&lt;0,N('Test Completo'!L123)&lt;0),"tempi negativi",IF(N('Test Completo'!I123)&lt;1,"NavMesh non attivato",IF(N('Test Completo'!T123)&gt;INDEX('Piano del test'!$N$5:$N$13,MATCH(B123,'Piano del test'!$A$5:$A$13,0)),"blocco al totem",IF(OR(N('Test Completo'!M123)&gt;'Piano del test'!$C$19,N('Test Completo'!H123)&gt;'Piano del test'!$C$20),"oltre le soglie","riuscita"))))))</f>
        <v>riuscita</v>
      </c>
      <c r="J123" s="27">
        <f t="shared" si="3"/>
        <v>29.86</v>
      </c>
    </row>
    <row r="124" spans="1:10" x14ac:dyDescent="0.45">
      <c r="A124" s="25">
        <f>'Test Completo'!A124</f>
        <v>1419</v>
      </c>
      <c r="B124" s="2" t="str">
        <f>IFERROR(INDEX('Piano del test'!$A$5:$A$13,MATCH('Test Completo'!B124&amp;"|"&amp;'Test Completo'!C124&amp;"|"&amp;'Test Completo'!D124&amp;"|"&amp;'Test Completo'!E124,'Piano del test'!$R$5:$R$13,0)),"?")</f>
        <v>T6</v>
      </c>
      <c r="C124" s="25">
        <f>'Test Completo'!G124</f>
        <v>17</v>
      </c>
      <c r="D124" s="26">
        <f>IF('Test Completo'!M124="","",'Test Completo'!M124)</f>
        <v>0</v>
      </c>
      <c r="E124" s="25">
        <f>IF('Test Completo'!I124="","",'Test Completo'!I124)</f>
        <v>0</v>
      </c>
      <c r="F124" s="26">
        <f>IF('Test Completo'!H124="","",'Test Completo'!H124)</f>
        <v>0</v>
      </c>
      <c r="G124" s="26">
        <f>IF('Test Completo'!L124="","",'Test Completo'!L124)</f>
        <v>0</v>
      </c>
      <c r="H124" s="26">
        <f>IF('Test Completo'!T124="","",'Test Completo'!T124)</f>
        <v>0</v>
      </c>
      <c r="I124" s="2" t="str">
        <f>IF('Test Completo'!M124="","non eseguita",IF(N('Test Completo'!M124)=0,"timeout",IF(OR(N('Test Completo'!H124)&lt;0,N('Test Completo'!L124)&lt;0),"tempi negativi",IF(N('Test Completo'!I124)&lt;1,"NavMesh non attivato",IF(N('Test Completo'!T124)&gt;INDEX('Piano del test'!$N$5:$N$13,MATCH(B124,'Piano del test'!$A$5:$A$13,0)),"blocco al totem",IF(OR(N('Test Completo'!M124)&gt;'Piano del test'!$C$19,N('Test Completo'!H124)&gt;'Piano del test'!$C$20),"oltre le soglie","riuscita"))))))</f>
        <v>timeout</v>
      </c>
      <c r="J124" s="27">
        <f t="shared" si="3"/>
        <v>0</v>
      </c>
    </row>
    <row r="125" spans="1:10" x14ac:dyDescent="0.45">
      <c r="A125" s="25">
        <f>'Test Completo'!A125</f>
        <v>1420</v>
      </c>
      <c r="B125" s="2" t="str">
        <f>IFERROR(INDEX('Piano del test'!$A$5:$A$13,MATCH('Test Completo'!B125&amp;"|"&amp;'Test Completo'!C125&amp;"|"&amp;'Test Completo'!D125&amp;"|"&amp;'Test Completo'!E125,'Piano del test'!$R$5:$R$13,0)),"?")</f>
        <v>T7</v>
      </c>
      <c r="C125" s="25">
        <f>'Test Completo'!G125</f>
        <v>17</v>
      </c>
      <c r="D125" s="26">
        <f>IF('Test Completo'!M125="","",'Test Completo'!M125)</f>
        <v>28.96</v>
      </c>
      <c r="E125" s="25">
        <f>IF('Test Completo'!I125="","",'Test Completo'!I125)</f>
        <v>1</v>
      </c>
      <c r="F125" s="26">
        <f>IF('Test Completo'!H125="","",'Test Completo'!H125)</f>
        <v>1.58</v>
      </c>
      <c r="G125" s="26">
        <f>IF('Test Completo'!L125="","",'Test Completo'!L125)</f>
        <v>9.6199999999999992</v>
      </c>
      <c r="H125" s="26">
        <f>IF('Test Completo'!T125="","",'Test Completo'!T125)</f>
        <v>4.82</v>
      </c>
      <c r="I125" s="2" t="str">
        <f>IF('Test Completo'!M125="","non eseguita",IF(N('Test Completo'!M125)=0,"timeout",IF(OR(N('Test Completo'!H125)&lt;0,N('Test Completo'!L125)&lt;0),"tempi negativi",IF(N('Test Completo'!I125)&lt;1,"NavMesh non attivato",IF(N('Test Completo'!T125)&gt;INDEX('Piano del test'!$N$5:$N$13,MATCH(B125,'Piano del test'!$A$5:$A$13,0)),"blocco al totem",IF(OR(N('Test Completo'!M125)&gt;'Piano del test'!$C$19,N('Test Completo'!H125)&gt;'Piano del test'!$C$20),"oltre le soglie","riuscita"))))))</f>
        <v>riuscita</v>
      </c>
      <c r="J125" s="27">
        <f t="shared" si="3"/>
        <v>28.96</v>
      </c>
    </row>
    <row r="126" spans="1:10" x14ac:dyDescent="0.45">
      <c r="A126" s="25">
        <f>'Test Completo'!A126</f>
        <v>1421</v>
      </c>
      <c r="B126" s="2" t="str">
        <f>IFERROR(INDEX('Piano del test'!$A$5:$A$13,MATCH('Test Completo'!B126&amp;"|"&amp;'Test Completo'!C126&amp;"|"&amp;'Test Completo'!D126&amp;"|"&amp;'Test Completo'!E126,'Piano del test'!$R$5:$R$13,0)),"?")</f>
        <v>T8</v>
      </c>
      <c r="C126" s="25">
        <f>'Test Completo'!G126</f>
        <v>17</v>
      </c>
      <c r="D126" s="26">
        <f>IF('Test Completo'!M126="","",'Test Completo'!M126)</f>
        <v>0</v>
      </c>
      <c r="E126" s="25">
        <f>IF('Test Completo'!I126="","",'Test Completo'!I126)</f>
        <v>0</v>
      </c>
      <c r="F126" s="26">
        <f>IF('Test Completo'!H126="","",'Test Completo'!H126)</f>
        <v>0</v>
      </c>
      <c r="G126" s="26">
        <f>IF('Test Completo'!L126="","",'Test Completo'!L126)</f>
        <v>0</v>
      </c>
      <c r="H126" s="26">
        <f>IF('Test Completo'!T126="","",'Test Completo'!T126)</f>
        <v>0</v>
      </c>
      <c r="I126" s="2" t="str">
        <f>IF('Test Completo'!M126="","non eseguita",IF(N('Test Completo'!M126)=0,"timeout",IF(OR(N('Test Completo'!H126)&lt;0,N('Test Completo'!L126)&lt;0),"tempi negativi",IF(N('Test Completo'!I126)&lt;1,"NavMesh non attivato",IF(N('Test Completo'!T126)&gt;INDEX('Piano del test'!$N$5:$N$13,MATCH(B126,'Piano del test'!$A$5:$A$13,0)),"blocco al totem",IF(OR(N('Test Completo'!M126)&gt;'Piano del test'!$C$19,N('Test Completo'!H126)&gt;'Piano del test'!$C$20),"oltre le soglie","riuscita"))))))</f>
        <v>timeout</v>
      </c>
      <c r="J126" s="27">
        <f t="shared" si="3"/>
        <v>0</v>
      </c>
    </row>
    <row r="127" spans="1:10" x14ac:dyDescent="0.45">
      <c r="A127" s="25">
        <f>'Test Completo'!A127</f>
        <v>1422</v>
      </c>
      <c r="B127" s="2" t="str">
        <f>IFERROR(INDEX('Piano del test'!$A$5:$A$13,MATCH('Test Completo'!B127&amp;"|"&amp;'Test Completo'!C127&amp;"|"&amp;'Test Completo'!D127&amp;"|"&amp;'Test Completo'!E127,'Piano del test'!$R$5:$R$13,0)),"?")</f>
        <v>T9</v>
      </c>
      <c r="C127" s="25">
        <f>'Test Completo'!G127</f>
        <v>17</v>
      </c>
      <c r="D127" s="26">
        <f>IF('Test Completo'!M127="","",'Test Completo'!M127)</f>
        <v>31.02</v>
      </c>
      <c r="E127" s="25">
        <f>IF('Test Completo'!I127="","",'Test Completo'!I127)</f>
        <v>1</v>
      </c>
      <c r="F127" s="26">
        <f>IF('Test Completo'!H127="","",'Test Completo'!H127)</f>
        <v>1.76</v>
      </c>
      <c r="G127" s="26">
        <f>IF('Test Completo'!L127="","",'Test Completo'!L127)</f>
        <v>5.16</v>
      </c>
      <c r="H127" s="26">
        <f>IF('Test Completo'!T127="","",'Test Completo'!T127)</f>
        <v>2.14</v>
      </c>
      <c r="I127" s="2" t="str">
        <f>IF('Test Completo'!M127="","non eseguita",IF(N('Test Completo'!M127)=0,"timeout",IF(OR(N('Test Completo'!H127)&lt;0,N('Test Completo'!L127)&lt;0),"tempi negativi",IF(N('Test Completo'!I127)&lt;1,"NavMesh non attivato",IF(N('Test Completo'!T127)&gt;INDEX('Piano del test'!$N$5:$N$13,MATCH(B127,'Piano del test'!$A$5:$A$13,0)),"blocco al totem",IF(OR(N('Test Completo'!M127)&gt;'Piano del test'!$C$19,N('Test Completo'!H127)&gt;'Piano del test'!$C$20),"oltre le soglie","riuscita"))))))</f>
        <v>riuscita</v>
      </c>
      <c r="J127" s="27">
        <f t="shared" si="3"/>
        <v>31.02</v>
      </c>
    </row>
    <row r="128" spans="1:10" x14ac:dyDescent="0.45">
      <c r="A128" s="25">
        <f>'Test Completo'!A128</f>
        <v>1423</v>
      </c>
      <c r="B128" s="2" t="str">
        <f>IFERROR(INDEX('Piano del test'!$A$5:$A$13,MATCH('Test Completo'!B128&amp;"|"&amp;'Test Completo'!C128&amp;"|"&amp;'Test Completo'!D128&amp;"|"&amp;'Test Completo'!E128,'Piano del test'!$R$5:$R$13,0)),"?")</f>
        <v>T1</v>
      </c>
      <c r="C128" s="25">
        <f>'Test Completo'!G128</f>
        <v>18</v>
      </c>
      <c r="D128" s="26">
        <f>IF('Test Completo'!M128="","",'Test Completo'!M128)</f>
        <v>0</v>
      </c>
      <c r="E128" s="25">
        <f>IF('Test Completo'!I128="","",'Test Completo'!I128)</f>
        <v>0</v>
      </c>
      <c r="F128" s="26">
        <f>IF('Test Completo'!H128="","",'Test Completo'!H128)</f>
        <v>0</v>
      </c>
      <c r="G128" s="26">
        <f>IF('Test Completo'!L128="","",'Test Completo'!L128)</f>
        <v>0</v>
      </c>
      <c r="H128" s="26">
        <f>IF('Test Completo'!T128="","",'Test Completo'!T128)</f>
        <v>0</v>
      </c>
      <c r="I128" s="2" t="str">
        <f>IF('Test Completo'!M128="","non eseguita",IF(N('Test Completo'!M128)=0,"timeout",IF(OR(N('Test Completo'!H128)&lt;0,N('Test Completo'!L128)&lt;0),"tempi negativi",IF(N('Test Completo'!I128)&lt;1,"NavMesh non attivato",IF(N('Test Completo'!T128)&gt;INDEX('Piano del test'!$N$5:$N$13,MATCH(B128,'Piano del test'!$A$5:$A$13,0)),"blocco al totem",IF(OR(N('Test Completo'!M128)&gt;'Piano del test'!$C$19,N('Test Completo'!H128)&gt;'Piano del test'!$C$20),"oltre le soglie","riuscita"))))))</f>
        <v>timeout</v>
      </c>
      <c r="J128" s="27">
        <f t="shared" si="3"/>
        <v>0</v>
      </c>
    </row>
    <row r="129" spans="1:10" x14ac:dyDescent="0.45">
      <c r="A129" s="25">
        <f>'Test Completo'!A129</f>
        <v>1424</v>
      </c>
      <c r="B129" s="2" t="str">
        <f>IFERROR(INDEX('Piano del test'!$A$5:$A$13,MATCH('Test Completo'!B129&amp;"|"&amp;'Test Completo'!C129&amp;"|"&amp;'Test Completo'!D129&amp;"|"&amp;'Test Completo'!E129,'Piano del test'!$R$5:$R$13,0)),"?")</f>
        <v>T2</v>
      </c>
      <c r="C129" s="25">
        <f>'Test Completo'!G129</f>
        <v>18</v>
      </c>
      <c r="D129" s="26">
        <f>IF('Test Completo'!M129="","",'Test Completo'!M129)</f>
        <v>53.08</v>
      </c>
      <c r="E129" s="25">
        <f>IF('Test Completo'!I129="","",'Test Completo'!I129)</f>
        <v>1</v>
      </c>
      <c r="F129" s="26">
        <f>IF('Test Completo'!H129="","",'Test Completo'!H129)</f>
        <v>3.22</v>
      </c>
      <c r="G129" s="26">
        <f>IF('Test Completo'!L129="","",'Test Completo'!L129)</f>
        <v>29.86</v>
      </c>
      <c r="H129" s="26">
        <f>IF('Test Completo'!T129="","",'Test Completo'!T129)</f>
        <v>27.66</v>
      </c>
      <c r="I129" s="2" t="str">
        <f>IF('Test Completo'!M129="","non eseguita",IF(N('Test Completo'!M129)=0,"timeout",IF(OR(N('Test Completo'!H129)&lt;0,N('Test Completo'!L129)&lt;0),"tempi negativi",IF(N('Test Completo'!I129)&lt;1,"NavMesh non attivato",IF(N('Test Completo'!T129)&gt;INDEX('Piano del test'!$N$5:$N$13,MATCH(B129,'Piano del test'!$A$5:$A$13,0)),"blocco al totem",IF(OR(N('Test Completo'!M129)&gt;'Piano del test'!$C$19,N('Test Completo'!H129)&gt;'Piano del test'!$C$20),"oltre le soglie","riuscita"))))))</f>
        <v>blocco al totem</v>
      </c>
      <c r="J129" s="27">
        <f t="shared" si="3"/>
        <v>0</v>
      </c>
    </row>
    <row r="130" spans="1:10" x14ac:dyDescent="0.45">
      <c r="A130" s="25">
        <f>'Test Completo'!A130</f>
        <v>1425</v>
      </c>
      <c r="B130" s="2" t="str">
        <f>IFERROR(INDEX('Piano del test'!$A$5:$A$13,MATCH('Test Completo'!B130&amp;"|"&amp;'Test Completo'!C130&amp;"|"&amp;'Test Completo'!D130&amp;"|"&amp;'Test Completo'!E130,'Piano del test'!$R$5:$R$13,0)),"?")</f>
        <v>T3</v>
      </c>
      <c r="C130" s="25">
        <f>'Test Completo'!G130</f>
        <v>18</v>
      </c>
      <c r="D130" s="26">
        <f>IF('Test Completo'!M130="","",'Test Completo'!M130)</f>
        <v>36.159999999999997</v>
      </c>
      <c r="E130" s="25">
        <f>IF('Test Completo'!I130="","",'Test Completo'!I130)</f>
        <v>1</v>
      </c>
      <c r="F130" s="26">
        <f>IF('Test Completo'!H130="","",'Test Completo'!H130)</f>
        <v>1.58</v>
      </c>
      <c r="G130" s="26">
        <f>IF('Test Completo'!L130="","",'Test Completo'!L130)</f>
        <v>9.5399999999999991</v>
      </c>
      <c r="H130" s="26">
        <f>IF('Test Completo'!T130="","",'Test Completo'!T130)</f>
        <v>4.8</v>
      </c>
      <c r="I130" s="2" t="str">
        <f>IF('Test Completo'!M130="","non eseguita",IF(N('Test Completo'!M130)=0,"timeout",IF(OR(N('Test Completo'!H130)&lt;0,N('Test Completo'!L130)&lt;0),"tempi negativi",IF(N('Test Completo'!I130)&lt;1,"NavMesh non attivato",IF(N('Test Completo'!T130)&gt;INDEX('Piano del test'!$N$5:$N$13,MATCH(B130,'Piano del test'!$A$5:$A$13,0)),"blocco al totem",IF(OR(N('Test Completo'!M130)&gt;'Piano del test'!$C$19,N('Test Completo'!H130)&gt;'Piano del test'!$C$20),"oltre le soglie","riuscita"))))))</f>
        <v>riuscita</v>
      </c>
      <c r="J130" s="27">
        <f t="shared" ref="J130:J161" si="4">IF(I130="riuscita",D130,0)</f>
        <v>36.159999999999997</v>
      </c>
    </row>
    <row r="131" spans="1:10" x14ac:dyDescent="0.45">
      <c r="A131" s="25">
        <f>'Test Completo'!A131</f>
        <v>1426</v>
      </c>
      <c r="B131" s="2" t="str">
        <f>IFERROR(INDEX('Piano del test'!$A$5:$A$13,MATCH('Test Completo'!B131&amp;"|"&amp;'Test Completo'!C131&amp;"|"&amp;'Test Completo'!D131&amp;"|"&amp;'Test Completo'!E131,'Piano del test'!$R$5:$R$13,0)),"?")</f>
        <v>T4</v>
      </c>
      <c r="C131" s="25">
        <f>'Test Completo'!G131</f>
        <v>18</v>
      </c>
      <c r="D131" s="26">
        <f>IF('Test Completo'!M131="","",'Test Completo'!M131)</f>
        <v>30.46</v>
      </c>
      <c r="E131" s="25">
        <f>IF('Test Completo'!I131="","",'Test Completo'!I131)</f>
        <v>1</v>
      </c>
      <c r="F131" s="26">
        <f>IF('Test Completo'!H131="","",'Test Completo'!H131)</f>
        <v>2.58</v>
      </c>
      <c r="G131" s="26">
        <f>IF('Test Completo'!L131="","",'Test Completo'!L131)</f>
        <v>9.76</v>
      </c>
      <c r="H131" s="26">
        <f>IF('Test Completo'!T131="","",'Test Completo'!T131)</f>
        <v>4.88</v>
      </c>
      <c r="I131" s="2" t="str">
        <f>IF('Test Completo'!M131="","non eseguita",IF(N('Test Completo'!M131)=0,"timeout",IF(OR(N('Test Completo'!H131)&lt;0,N('Test Completo'!L131)&lt;0),"tempi negativi",IF(N('Test Completo'!I131)&lt;1,"NavMesh non attivato",IF(N('Test Completo'!T131)&gt;INDEX('Piano del test'!$N$5:$N$13,MATCH(B131,'Piano del test'!$A$5:$A$13,0)),"blocco al totem",IF(OR(N('Test Completo'!M131)&gt;'Piano del test'!$C$19,N('Test Completo'!H131)&gt;'Piano del test'!$C$20),"oltre le soglie","riuscita"))))))</f>
        <v>riuscita</v>
      </c>
      <c r="J131" s="27">
        <f t="shared" si="4"/>
        <v>30.46</v>
      </c>
    </row>
    <row r="132" spans="1:10" x14ac:dyDescent="0.45">
      <c r="A132" s="25">
        <f>'Test Completo'!A132</f>
        <v>1427</v>
      </c>
      <c r="B132" s="2" t="str">
        <f>IFERROR(INDEX('Piano del test'!$A$5:$A$13,MATCH('Test Completo'!B132&amp;"|"&amp;'Test Completo'!C132&amp;"|"&amp;'Test Completo'!D132&amp;"|"&amp;'Test Completo'!E132,'Piano del test'!$R$5:$R$13,0)),"?")</f>
        <v>T5</v>
      </c>
      <c r="C132" s="25">
        <f>'Test Completo'!G132</f>
        <v>18</v>
      </c>
      <c r="D132" s="26">
        <f>IF('Test Completo'!M132="","",'Test Completo'!M132)</f>
        <v>28</v>
      </c>
      <c r="E132" s="25">
        <f>IF('Test Completo'!I132="","",'Test Completo'!I132)</f>
        <v>1</v>
      </c>
      <c r="F132" s="26">
        <f>IF('Test Completo'!H132="","",'Test Completo'!H132)</f>
        <v>1.3</v>
      </c>
      <c r="G132" s="26">
        <f>IF('Test Completo'!L132="","",'Test Completo'!L132)</f>
        <v>9.56</v>
      </c>
      <c r="H132" s="26">
        <f>IF('Test Completo'!T132="","",'Test Completo'!T132)</f>
        <v>4.92</v>
      </c>
      <c r="I132" s="2" t="str">
        <f>IF('Test Completo'!M132="","non eseguita",IF(N('Test Completo'!M132)=0,"timeout",IF(OR(N('Test Completo'!H132)&lt;0,N('Test Completo'!L132)&lt;0),"tempi negativi",IF(N('Test Completo'!I132)&lt;1,"NavMesh non attivato",IF(N('Test Completo'!T132)&gt;INDEX('Piano del test'!$N$5:$N$13,MATCH(B132,'Piano del test'!$A$5:$A$13,0)),"blocco al totem",IF(OR(N('Test Completo'!M132)&gt;'Piano del test'!$C$19,N('Test Completo'!H132)&gt;'Piano del test'!$C$20),"oltre le soglie","riuscita"))))))</f>
        <v>riuscita</v>
      </c>
      <c r="J132" s="27">
        <f t="shared" si="4"/>
        <v>28</v>
      </c>
    </row>
    <row r="133" spans="1:10" x14ac:dyDescent="0.45">
      <c r="A133" s="25">
        <f>'Test Completo'!A133</f>
        <v>1428</v>
      </c>
      <c r="B133" s="2" t="str">
        <f>IFERROR(INDEX('Piano del test'!$A$5:$A$13,MATCH('Test Completo'!B133&amp;"|"&amp;'Test Completo'!C133&amp;"|"&amp;'Test Completo'!D133&amp;"|"&amp;'Test Completo'!E133,'Piano del test'!$R$5:$R$13,0)),"?")</f>
        <v>T6</v>
      </c>
      <c r="C133" s="25">
        <f>'Test Completo'!G133</f>
        <v>18</v>
      </c>
      <c r="D133" s="26">
        <f>IF('Test Completo'!M133="","",'Test Completo'!M133)</f>
        <v>26.26</v>
      </c>
      <c r="E133" s="25">
        <f>IF('Test Completo'!I133="","",'Test Completo'!I133)</f>
        <v>1</v>
      </c>
      <c r="F133" s="26">
        <f>IF('Test Completo'!H133="","",'Test Completo'!H133)</f>
        <v>3.18</v>
      </c>
      <c r="G133" s="26">
        <f>IF('Test Completo'!L133="","",'Test Completo'!L133)</f>
        <v>3.18</v>
      </c>
      <c r="H133" s="26">
        <f>IF('Test Completo'!T133="","",'Test Completo'!T133)</f>
        <v>0.92</v>
      </c>
      <c r="I133" s="2" t="str">
        <f>IF('Test Completo'!M133="","non eseguita",IF(N('Test Completo'!M133)=0,"timeout",IF(OR(N('Test Completo'!H133)&lt;0,N('Test Completo'!L133)&lt;0),"tempi negativi",IF(N('Test Completo'!I133)&lt;1,"NavMesh non attivato",IF(N('Test Completo'!T133)&gt;INDEX('Piano del test'!$N$5:$N$13,MATCH(B133,'Piano del test'!$A$5:$A$13,0)),"blocco al totem",IF(OR(N('Test Completo'!M133)&gt;'Piano del test'!$C$19,N('Test Completo'!H133)&gt;'Piano del test'!$C$20),"oltre le soglie","riuscita"))))))</f>
        <v>riuscita</v>
      </c>
      <c r="J133" s="27">
        <f t="shared" si="4"/>
        <v>26.26</v>
      </c>
    </row>
    <row r="134" spans="1:10" x14ac:dyDescent="0.45">
      <c r="A134" s="25">
        <f>'Test Completo'!A134</f>
        <v>1429</v>
      </c>
      <c r="B134" s="2" t="str">
        <f>IFERROR(INDEX('Piano del test'!$A$5:$A$13,MATCH('Test Completo'!B134&amp;"|"&amp;'Test Completo'!C134&amp;"|"&amp;'Test Completo'!D134&amp;"|"&amp;'Test Completo'!E134,'Piano del test'!$R$5:$R$13,0)),"?")</f>
        <v>T7</v>
      </c>
      <c r="C134" s="25">
        <f>'Test Completo'!G134</f>
        <v>18</v>
      </c>
      <c r="D134" s="26">
        <f>IF('Test Completo'!M134="","",'Test Completo'!M134)</f>
        <v>28.68</v>
      </c>
      <c r="E134" s="25">
        <f>IF('Test Completo'!I134="","",'Test Completo'!I134)</f>
        <v>1</v>
      </c>
      <c r="F134" s="26">
        <f>IF('Test Completo'!H134="","",'Test Completo'!H134)</f>
        <v>1.4</v>
      </c>
      <c r="G134" s="26">
        <f>IF('Test Completo'!L134="","",'Test Completo'!L134)</f>
        <v>9.68</v>
      </c>
      <c r="H134" s="26">
        <f>IF('Test Completo'!T134="","",'Test Completo'!T134)</f>
        <v>4.84</v>
      </c>
      <c r="I134" s="2" t="str">
        <f>IF('Test Completo'!M134="","non eseguita",IF(N('Test Completo'!M134)=0,"timeout",IF(OR(N('Test Completo'!H134)&lt;0,N('Test Completo'!L134)&lt;0),"tempi negativi",IF(N('Test Completo'!I134)&lt;1,"NavMesh non attivato",IF(N('Test Completo'!T134)&gt;INDEX('Piano del test'!$N$5:$N$13,MATCH(B134,'Piano del test'!$A$5:$A$13,0)),"blocco al totem",IF(OR(N('Test Completo'!M134)&gt;'Piano del test'!$C$19,N('Test Completo'!H134)&gt;'Piano del test'!$C$20),"oltre le soglie","riuscita"))))))</f>
        <v>riuscita</v>
      </c>
      <c r="J134" s="27">
        <f t="shared" si="4"/>
        <v>28.68</v>
      </c>
    </row>
    <row r="135" spans="1:10" x14ac:dyDescent="0.45">
      <c r="A135" s="25">
        <f>'Test Completo'!A135</f>
        <v>1430</v>
      </c>
      <c r="B135" s="2" t="str">
        <f>IFERROR(INDEX('Piano del test'!$A$5:$A$13,MATCH('Test Completo'!B135&amp;"|"&amp;'Test Completo'!C135&amp;"|"&amp;'Test Completo'!D135&amp;"|"&amp;'Test Completo'!E135,'Piano del test'!$R$5:$R$13,0)),"?")</f>
        <v>T8</v>
      </c>
      <c r="C135" s="25">
        <f>'Test Completo'!G135</f>
        <v>18</v>
      </c>
      <c r="D135" s="26">
        <f>IF('Test Completo'!M135="","",'Test Completo'!M135)</f>
        <v>27.98</v>
      </c>
      <c r="E135" s="25">
        <f>IF('Test Completo'!I135="","",'Test Completo'!I135)</f>
        <v>1</v>
      </c>
      <c r="F135" s="26">
        <f>IF('Test Completo'!H135="","",'Test Completo'!H135)</f>
        <v>3.28</v>
      </c>
      <c r="G135" s="26">
        <f>IF('Test Completo'!L135="","",'Test Completo'!L135)</f>
        <v>3.28</v>
      </c>
      <c r="H135" s="26">
        <f>IF('Test Completo'!T135="","",'Test Completo'!T135)</f>
        <v>1.02</v>
      </c>
      <c r="I135" s="2" t="str">
        <f>IF('Test Completo'!M135="","non eseguita",IF(N('Test Completo'!M135)=0,"timeout",IF(OR(N('Test Completo'!H135)&lt;0,N('Test Completo'!L135)&lt;0),"tempi negativi",IF(N('Test Completo'!I135)&lt;1,"NavMesh non attivato",IF(N('Test Completo'!T135)&gt;INDEX('Piano del test'!$N$5:$N$13,MATCH(B135,'Piano del test'!$A$5:$A$13,0)),"blocco al totem",IF(OR(N('Test Completo'!M135)&gt;'Piano del test'!$C$19,N('Test Completo'!H135)&gt;'Piano del test'!$C$20),"oltre le soglie","riuscita"))))))</f>
        <v>riuscita</v>
      </c>
      <c r="J135" s="27">
        <f t="shared" si="4"/>
        <v>27.98</v>
      </c>
    </row>
    <row r="136" spans="1:10" x14ac:dyDescent="0.45">
      <c r="A136" s="25">
        <f>'Test Completo'!A136</f>
        <v>1431</v>
      </c>
      <c r="B136" s="2" t="str">
        <f>IFERROR(INDEX('Piano del test'!$A$5:$A$13,MATCH('Test Completo'!B136&amp;"|"&amp;'Test Completo'!C136&amp;"|"&amp;'Test Completo'!D136&amp;"|"&amp;'Test Completo'!E136,'Piano del test'!$R$5:$R$13,0)),"?")</f>
        <v>T9</v>
      </c>
      <c r="C136" s="25">
        <f>'Test Completo'!G136</f>
        <v>18</v>
      </c>
      <c r="D136" s="26">
        <f>IF('Test Completo'!M136="","",'Test Completo'!M136)</f>
        <v>29.1</v>
      </c>
      <c r="E136" s="25">
        <f>IF('Test Completo'!I136="","",'Test Completo'!I136)</f>
        <v>1</v>
      </c>
      <c r="F136" s="26">
        <f>IF('Test Completo'!H136="","",'Test Completo'!H136)</f>
        <v>1.88</v>
      </c>
      <c r="G136" s="26">
        <f>IF('Test Completo'!L136="","",'Test Completo'!L136)</f>
        <v>5.14</v>
      </c>
      <c r="H136" s="26">
        <f>IF('Test Completo'!T136="","",'Test Completo'!T136)</f>
        <v>2.08</v>
      </c>
      <c r="I136" s="2" t="str">
        <f>IF('Test Completo'!M136="","non eseguita",IF(N('Test Completo'!M136)=0,"timeout",IF(OR(N('Test Completo'!H136)&lt;0,N('Test Completo'!L136)&lt;0),"tempi negativi",IF(N('Test Completo'!I136)&lt;1,"NavMesh non attivato",IF(N('Test Completo'!T136)&gt;INDEX('Piano del test'!$N$5:$N$13,MATCH(B136,'Piano del test'!$A$5:$A$13,0)),"blocco al totem",IF(OR(N('Test Completo'!M136)&gt;'Piano del test'!$C$19,N('Test Completo'!H136)&gt;'Piano del test'!$C$20),"oltre le soglie","riuscita"))))))</f>
        <v>riuscita</v>
      </c>
      <c r="J136" s="27">
        <f t="shared" si="4"/>
        <v>29.1</v>
      </c>
    </row>
    <row r="137" spans="1:10" x14ac:dyDescent="0.45">
      <c r="A137" s="25">
        <f>'Test Completo'!A137</f>
        <v>1432</v>
      </c>
      <c r="B137" s="2" t="str">
        <f>IFERROR(INDEX('Piano del test'!$A$5:$A$13,MATCH('Test Completo'!B137&amp;"|"&amp;'Test Completo'!C137&amp;"|"&amp;'Test Completo'!D137&amp;"|"&amp;'Test Completo'!E137,'Piano del test'!$R$5:$R$13,0)),"?")</f>
        <v>T1</v>
      </c>
      <c r="C137" s="25">
        <f>'Test Completo'!G137</f>
        <v>19</v>
      </c>
      <c r="D137" s="26">
        <f>IF('Test Completo'!M137="","",'Test Completo'!M137)</f>
        <v>26.04</v>
      </c>
      <c r="E137" s="25">
        <f>IF('Test Completo'!I137="","",'Test Completo'!I137)</f>
        <v>1</v>
      </c>
      <c r="F137" s="26">
        <f>IF('Test Completo'!H137="","",'Test Completo'!H137)</f>
        <v>3.2</v>
      </c>
      <c r="G137" s="26">
        <f>IF('Test Completo'!L137="","",'Test Completo'!L137)</f>
        <v>3.36</v>
      </c>
      <c r="H137" s="26">
        <f>IF('Test Completo'!T137="","",'Test Completo'!T137)</f>
        <v>1.08</v>
      </c>
      <c r="I137" s="2" t="str">
        <f>IF('Test Completo'!M137="","non eseguita",IF(N('Test Completo'!M137)=0,"timeout",IF(OR(N('Test Completo'!H137)&lt;0,N('Test Completo'!L137)&lt;0),"tempi negativi",IF(N('Test Completo'!I137)&lt;1,"NavMesh non attivato",IF(N('Test Completo'!T137)&gt;INDEX('Piano del test'!$N$5:$N$13,MATCH(B137,'Piano del test'!$A$5:$A$13,0)),"blocco al totem",IF(OR(N('Test Completo'!M137)&gt;'Piano del test'!$C$19,N('Test Completo'!H137)&gt;'Piano del test'!$C$20),"oltre le soglie","riuscita"))))))</f>
        <v>riuscita</v>
      </c>
      <c r="J137" s="27">
        <f t="shared" si="4"/>
        <v>26.04</v>
      </c>
    </row>
    <row r="138" spans="1:10" x14ac:dyDescent="0.45">
      <c r="A138" s="25">
        <f>'Test Completo'!A138</f>
        <v>1433</v>
      </c>
      <c r="B138" s="2" t="str">
        <f>IFERROR(INDEX('Piano del test'!$A$5:$A$13,MATCH('Test Completo'!B138&amp;"|"&amp;'Test Completo'!C138&amp;"|"&amp;'Test Completo'!D138&amp;"|"&amp;'Test Completo'!E138,'Piano del test'!$R$5:$R$13,0)),"?")</f>
        <v>T2</v>
      </c>
      <c r="C138" s="25">
        <f>'Test Completo'!G138</f>
        <v>19</v>
      </c>
      <c r="D138" s="26">
        <f>IF('Test Completo'!M138="","",'Test Completo'!M138)</f>
        <v>62.2</v>
      </c>
      <c r="E138" s="25">
        <f>IF('Test Completo'!I138="","",'Test Completo'!I138)</f>
        <v>1</v>
      </c>
      <c r="F138" s="26">
        <f>IF('Test Completo'!H138="","",'Test Completo'!H138)</f>
        <v>3.14</v>
      </c>
      <c r="G138" s="26">
        <f>IF('Test Completo'!L138="","",'Test Completo'!L138)</f>
        <v>31.04</v>
      </c>
      <c r="H138" s="26">
        <f>IF('Test Completo'!T138="","",'Test Completo'!T138)</f>
        <v>28.8</v>
      </c>
      <c r="I138" s="2" t="str">
        <f>IF('Test Completo'!M138="","non eseguita",IF(N('Test Completo'!M138)=0,"timeout",IF(OR(N('Test Completo'!H138)&lt;0,N('Test Completo'!L138)&lt;0),"tempi negativi",IF(N('Test Completo'!I138)&lt;1,"NavMesh non attivato",IF(N('Test Completo'!T138)&gt;INDEX('Piano del test'!$N$5:$N$13,MATCH(B138,'Piano del test'!$A$5:$A$13,0)),"blocco al totem",IF(OR(N('Test Completo'!M138)&gt;'Piano del test'!$C$19,N('Test Completo'!H138)&gt;'Piano del test'!$C$20),"oltre le soglie","riuscita"))))))</f>
        <v>blocco al totem</v>
      </c>
      <c r="J138" s="27">
        <f t="shared" si="4"/>
        <v>0</v>
      </c>
    </row>
    <row r="139" spans="1:10" x14ac:dyDescent="0.45">
      <c r="A139" s="25">
        <f>'Test Completo'!A139</f>
        <v>1434</v>
      </c>
      <c r="B139" s="2" t="str">
        <f>IFERROR(INDEX('Piano del test'!$A$5:$A$13,MATCH('Test Completo'!B139&amp;"|"&amp;'Test Completo'!C139&amp;"|"&amp;'Test Completo'!D139&amp;"|"&amp;'Test Completo'!E139,'Piano del test'!$R$5:$R$13,0)),"?")</f>
        <v>T3</v>
      </c>
      <c r="C139" s="25">
        <f>'Test Completo'!G139</f>
        <v>19</v>
      </c>
      <c r="D139" s="26">
        <f>IF('Test Completo'!M139="","",'Test Completo'!M139)</f>
        <v>32.299999999999997</v>
      </c>
      <c r="E139" s="25">
        <f>IF('Test Completo'!I139="","",'Test Completo'!I139)</f>
        <v>1</v>
      </c>
      <c r="F139" s="26">
        <f>IF('Test Completo'!H139="","",'Test Completo'!H139)</f>
        <v>1.7</v>
      </c>
      <c r="G139" s="26">
        <f>IF('Test Completo'!L139="","",'Test Completo'!L139)</f>
        <v>9.6</v>
      </c>
      <c r="H139" s="26">
        <f>IF('Test Completo'!T139="","",'Test Completo'!T139)</f>
        <v>4.78</v>
      </c>
      <c r="I139" s="2" t="str">
        <f>IF('Test Completo'!M139="","non eseguita",IF(N('Test Completo'!M139)=0,"timeout",IF(OR(N('Test Completo'!H139)&lt;0,N('Test Completo'!L139)&lt;0),"tempi negativi",IF(N('Test Completo'!I139)&lt;1,"NavMesh non attivato",IF(N('Test Completo'!T139)&gt;INDEX('Piano del test'!$N$5:$N$13,MATCH(B139,'Piano del test'!$A$5:$A$13,0)),"blocco al totem",IF(OR(N('Test Completo'!M139)&gt;'Piano del test'!$C$19,N('Test Completo'!H139)&gt;'Piano del test'!$C$20),"oltre le soglie","riuscita"))))))</f>
        <v>riuscita</v>
      </c>
      <c r="J139" s="27">
        <f t="shared" si="4"/>
        <v>32.299999999999997</v>
      </c>
    </row>
    <row r="140" spans="1:10" x14ac:dyDescent="0.45">
      <c r="A140" s="25">
        <f>'Test Completo'!A140</f>
        <v>1435</v>
      </c>
      <c r="B140" s="2" t="str">
        <f>IFERROR(INDEX('Piano del test'!$A$5:$A$13,MATCH('Test Completo'!B140&amp;"|"&amp;'Test Completo'!C140&amp;"|"&amp;'Test Completo'!D140&amp;"|"&amp;'Test Completo'!E140,'Piano del test'!$R$5:$R$13,0)),"?")</f>
        <v>T4</v>
      </c>
      <c r="C140" s="25">
        <f>'Test Completo'!G140</f>
        <v>19</v>
      </c>
      <c r="D140" s="26">
        <f>IF('Test Completo'!M140="","",'Test Completo'!M140)</f>
        <v>32.5</v>
      </c>
      <c r="E140" s="25">
        <f>IF('Test Completo'!I140="","",'Test Completo'!I140)</f>
        <v>1</v>
      </c>
      <c r="F140" s="26">
        <f>IF('Test Completo'!H140="","",'Test Completo'!H140)</f>
        <v>1.74</v>
      </c>
      <c r="G140" s="26">
        <f>IF('Test Completo'!L140="","",'Test Completo'!L140)</f>
        <v>9.64</v>
      </c>
      <c r="H140" s="26">
        <f>IF('Test Completo'!T140="","",'Test Completo'!T140)</f>
        <v>4.82</v>
      </c>
      <c r="I140" s="2" t="str">
        <f>IF('Test Completo'!M140="","non eseguita",IF(N('Test Completo'!M140)=0,"timeout",IF(OR(N('Test Completo'!H140)&lt;0,N('Test Completo'!L140)&lt;0),"tempi negativi",IF(N('Test Completo'!I140)&lt;1,"NavMesh non attivato",IF(N('Test Completo'!T140)&gt;INDEX('Piano del test'!$N$5:$N$13,MATCH(B140,'Piano del test'!$A$5:$A$13,0)),"blocco al totem",IF(OR(N('Test Completo'!M140)&gt;'Piano del test'!$C$19,N('Test Completo'!H140)&gt;'Piano del test'!$C$20),"oltre le soglie","riuscita"))))))</f>
        <v>riuscita</v>
      </c>
      <c r="J140" s="27">
        <f t="shared" si="4"/>
        <v>32.5</v>
      </c>
    </row>
    <row r="141" spans="1:10" x14ac:dyDescent="0.45">
      <c r="A141" s="25">
        <f>'Test Completo'!A141</f>
        <v>1436</v>
      </c>
      <c r="B141" s="2" t="str">
        <f>IFERROR(INDEX('Piano del test'!$A$5:$A$13,MATCH('Test Completo'!B141&amp;"|"&amp;'Test Completo'!C141&amp;"|"&amp;'Test Completo'!D141&amp;"|"&amp;'Test Completo'!E141,'Piano del test'!$R$5:$R$13,0)),"?")</f>
        <v>T5</v>
      </c>
      <c r="C141" s="25">
        <f>'Test Completo'!G141</f>
        <v>19</v>
      </c>
      <c r="D141" s="26">
        <f>IF('Test Completo'!M141="","",'Test Completo'!M141)</f>
        <v>33.46</v>
      </c>
      <c r="E141" s="25">
        <f>IF('Test Completo'!I141="","",'Test Completo'!I141)</f>
        <v>1</v>
      </c>
      <c r="F141" s="26">
        <f>IF('Test Completo'!H141="","",'Test Completo'!H141)</f>
        <v>1.2</v>
      </c>
      <c r="G141" s="26">
        <f>IF('Test Completo'!L141="","",'Test Completo'!L141)</f>
        <v>9.66</v>
      </c>
      <c r="H141" s="26">
        <f>IF('Test Completo'!T141="","",'Test Completo'!T141)</f>
        <v>4.8</v>
      </c>
      <c r="I141" s="2" t="str">
        <f>IF('Test Completo'!M141="","non eseguita",IF(N('Test Completo'!M141)=0,"timeout",IF(OR(N('Test Completo'!H141)&lt;0,N('Test Completo'!L141)&lt;0),"tempi negativi",IF(N('Test Completo'!I141)&lt;1,"NavMesh non attivato",IF(N('Test Completo'!T141)&gt;INDEX('Piano del test'!$N$5:$N$13,MATCH(B141,'Piano del test'!$A$5:$A$13,0)),"blocco al totem",IF(OR(N('Test Completo'!M141)&gt;'Piano del test'!$C$19,N('Test Completo'!H141)&gt;'Piano del test'!$C$20),"oltre le soglie","riuscita"))))))</f>
        <v>riuscita</v>
      </c>
      <c r="J141" s="27">
        <f t="shared" si="4"/>
        <v>33.46</v>
      </c>
    </row>
    <row r="142" spans="1:10" x14ac:dyDescent="0.45">
      <c r="A142" s="25">
        <f>'Test Completo'!A142</f>
        <v>1437</v>
      </c>
      <c r="B142" s="2" t="str">
        <f>IFERROR(INDEX('Piano del test'!$A$5:$A$13,MATCH('Test Completo'!B142&amp;"|"&amp;'Test Completo'!C142&amp;"|"&amp;'Test Completo'!D142&amp;"|"&amp;'Test Completo'!E142,'Piano del test'!$R$5:$R$13,0)),"?")</f>
        <v>T6</v>
      </c>
      <c r="C142" s="25">
        <f>'Test Completo'!G142</f>
        <v>19</v>
      </c>
      <c r="D142" s="26">
        <f>IF('Test Completo'!M142="","",'Test Completo'!M142)</f>
        <v>0</v>
      </c>
      <c r="E142" s="25">
        <f>IF('Test Completo'!I142="","",'Test Completo'!I142)</f>
        <v>0</v>
      </c>
      <c r="F142" s="26">
        <f>IF('Test Completo'!H142="","",'Test Completo'!H142)</f>
        <v>0</v>
      </c>
      <c r="G142" s="26">
        <f>IF('Test Completo'!L142="","",'Test Completo'!L142)</f>
        <v>0</v>
      </c>
      <c r="H142" s="26">
        <f>IF('Test Completo'!T142="","",'Test Completo'!T142)</f>
        <v>0</v>
      </c>
      <c r="I142" s="2" t="str">
        <f>IF('Test Completo'!M142="","non eseguita",IF(N('Test Completo'!M142)=0,"timeout",IF(OR(N('Test Completo'!H142)&lt;0,N('Test Completo'!L142)&lt;0),"tempi negativi",IF(N('Test Completo'!I142)&lt;1,"NavMesh non attivato",IF(N('Test Completo'!T142)&gt;INDEX('Piano del test'!$N$5:$N$13,MATCH(B142,'Piano del test'!$A$5:$A$13,0)),"blocco al totem",IF(OR(N('Test Completo'!M142)&gt;'Piano del test'!$C$19,N('Test Completo'!H142)&gt;'Piano del test'!$C$20),"oltre le soglie","riuscita"))))))</f>
        <v>timeout</v>
      </c>
      <c r="J142" s="27">
        <f t="shared" si="4"/>
        <v>0</v>
      </c>
    </row>
    <row r="143" spans="1:10" x14ac:dyDescent="0.45">
      <c r="A143" s="25">
        <f>'Test Completo'!A143</f>
        <v>1438</v>
      </c>
      <c r="B143" s="2" t="str">
        <f>IFERROR(INDEX('Piano del test'!$A$5:$A$13,MATCH('Test Completo'!B143&amp;"|"&amp;'Test Completo'!C143&amp;"|"&amp;'Test Completo'!D143&amp;"|"&amp;'Test Completo'!E143,'Piano del test'!$R$5:$R$13,0)),"?")</f>
        <v>T7</v>
      </c>
      <c r="C143" s="25">
        <f>'Test Completo'!G143</f>
        <v>19</v>
      </c>
      <c r="D143" s="26">
        <f>IF('Test Completo'!M143="","",'Test Completo'!M143)</f>
        <v>30.5</v>
      </c>
      <c r="E143" s="25">
        <f>IF('Test Completo'!I143="","",'Test Completo'!I143)</f>
        <v>1</v>
      </c>
      <c r="F143" s="26">
        <f>IF('Test Completo'!H143="","",'Test Completo'!H143)</f>
        <v>2.68</v>
      </c>
      <c r="G143" s="26">
        <f>IF('Test Completo'!L143="","",'Test Completo'!L143)</f>
        <v>9.58</v>
      </c>
      <c r="H143" s="26">
        <f>IF('Test Completo'!T143="","",'Test Completo'!T143)</f>
        <v>4.8</v>
      </c>
      <c r="I143" s="2" t="str">
        <f>IF('Test Completo'!M143="","non eseguita",IF(N('Test Completo'!M143)=0,"timeout",IF(OR(N('Test Completo'!H143)&lt;0,N('Test Completo'!L143)&lt;0),"tempi negativi",IF(N('Test Completo'!I143)&lt;1,"NavMesh non attivato",IF(N('Test Completo'!T143)&gt;INDEX('Piano del test'!$N$5:$N$13,MATCH(B143,'Piano del test'!$A$5:$A$13,0)),"blocco al totem",IF(OR(N('Test Completo'!M143)&gt;'Piano del test'!$C$19,N('Test Completo'!H143)&gt;'Piano del test'!$C$20),"oltre le soglie","riuscita"))))))</f>
        <v>riuscita</v>
      </c>
      <c r="J143" s="27">
        <f t="shared" si="4"/>
        <v>30.5</v>
      </c>
    </row>
    <row r="144" spans="1:10" x14ac:dyDescent="0.45">
      <c r="A144" s="25">
        <f>'Test Completo'!A144</f>
        <v>1439</v>
      </c>
      <c r="B144" s="2" t="str">
        <f>IFERROR(INDEX('Piano del test'!$A$5:$A$13,MATCH('Test Completo'!B144&amp;"|"&amp;'Test Completo'!C144&amp;"|"&amp;'Test Completo'!D144&amp;"|"&amp;'Test Completo'!E144,'Piano del test'!$R$5:$R$13,0)),"?")</f>
        <v>T8</v>
      </c>
      <c r="C144" s="25">
        <f>'Test Completo'!G144</f>
        <v>19</v>
      </c>
      <c r="D144" s="26">
        <f>IF('Test Completo'!M144="","",'Test Completo'!M144)</f>
        <v>29.12</v>
      </c>
      <c r="E144" s="25">
        <f>IF('Test Completo'!I144="","",'Test Completo'!I144)</f>
        <v>1</v>
      </c>
      <c r="F144" s="26">
        <f>IF('Test Completo'!H144="","",'Test Completo'!H144)</f>
        <v>4.42</v>
      </c>
      <c r="G144" s="26">
        <f>IF('Test Completo'!L144="","",'Test Completo'!L144)</f>
        <v>3.22</v>
      </c>
      <c r="H144" s="26">
        <f>IF('Test Completo'!T144="","",'Test Completo'!T144)</f>
        <v>1.02</v>
      </c>
      <c r="I144" s="2" t="str">
        <f>IF('Test Completo'!M144="","non eseguita",IF(N('Test Completo'!M144)=0,"timeout",IF(OR(N('Test Completo'!H144)&lt;0,N('Test Completo'!L144)&lt;0),"tempi negativi",IF(N('Test Completo'!I144)&lt;1,"NavMesh non attivato",IF(N('Test Completo'!T144)&gt;INDEX('Piano del test'!$N$5:$N$13,MATCH(B144,'Piano del test'!$A$5:$A$13,0)),"blocco al totem",IF(OR(N('Test Completo'!M144)&gt;'Piano del test'!$C$19,N('Test Completo'!H144)&gt;'Piano del test'!$C$20),"oltre le soglie","riuscita"))))))</f>
        <v>riuscita</v>
      </c>
      <c r="J144" s="27">
        <f t="shared" si="4"/>
        <v>29.12</v>
      </c>
    </row>
    <row r="145" spans="1:10" x14ac:dyDescent="0.45">
      <c r="A145" s="25">
        <f>'Test Completo'!A145</f>
        <v>1440</v>
      </c>
      <c r="B145" s="2" t="str">
        <f>IFERROR(INDEX('Piano del test'!$A$5:$A$13,MATCH('Test Completo'!B145&amp;"|"&amp;'Test Completo'!C145&amp;"|"&amp;'Test Completo'!D145&amp;"|"&amp;'Test Completo'!E145,'Piano del test'!$R$5:$R$13,0)),"?")</f>
        <v>T9</v>
      </c>
      <c r="C145" s="25">
        <f>'Test Completo'!G145</f>
        <v>19</v>
      </c>
      <c r="D145" s="26">
        <f>IF('Test Completo'!M145="","",'Test Completo'!M145)</f>
        <v>37.18</v>
      </c>
      <c r="E145" s="25">
        <f>IF('Test Completo'!I145="","",'Test Completo'!I145)</f>
        <v>1</v>
      </c>
      <c r="F145" s="26">
        <f>IF('Test Completo'!H145="","",'Test Completo'!H145)</f>
        <v>1.74</v>
      </c>
      <c r="G145" s="26">
        <f>IF('Test Completo'!L145="","",'Test Completo'!L145)</f>
        <v>5.18</v>
      </c>
      <c r="H145" s="26">
        <f>IF('Test Completo'!T145="","",'Test Completo'!T145)</f>
        <v>2.1800000000000002</v>
      </c>
      <c r="I145" s="2" t="str">
        <f>IF('Test Completo'!M145="","non eseguita",IF(N('Test Completo'!M145)=0,"timeout",IF(OR(N('Test Completo'!H145)&lt;0,N('Test Completo'!L145)&lt;0),"tempi negativi",IF(N('Test Completo'!I145)&lt;1,"NavMesh non attivato",IF(N('Test Completo'!T145)&gt;INDEX('Piano del test'!$N$5:$N$13,MATCH(B145,'Piano del test'!$A$5:$A$13,0)),"blocco al totem",IF(OR(N('Test Completo'!M145)&gt;'Piano del test'!$C$19,N('Test Completo'!H145)&gt;'Piano del test'!$C$20),"oltre le soglie","riuscita"))))))</f>
        <v>riuscita</v>
      </c>
      <c r="J145" s="27">
        <f t="shared" si="4"/>
        <v>37.18</v>
      </c>
    </row>
    <row r="146" spans="1:10" x14ac:dyDescent="0.45">
      <c r="A146" s="25">
        <f>'Test Completo'!A146</f>
        <v>1441</v>
      </c>
      <c r="B146" s="2" t="str">
        <f>IFERROR(INDEX('Piano del test'!$A$5:$A$13,MATCH('Test Completo'!B146&amp;"|"&amp;'Test Completo'!C146&amp;"|"&amp;'Test Completo'!D146&amp;"|"&amp;'Test Completo'!E146,'Piano del test'!$R$5:$R$13,0)),"?")</f>
        <v>T1</v>
      </c>
      <c r="C146" s="25">
        <f>'Test Completo'!G146</f>
        <v>20</v>
      </c>
      <c r="D146" s="26">
        <f>IF('Test Completo'!M146="","",'Test Completo'!M146)</f>
        <v>26.3</v>
      </c>
      <c r="E146" s="25">
        <f>IF('Test Completo'!I146="","",'Test Completo'!I146)</f>
        <v>1</v>
      </c>
      <c r="F146" s="26">
        <f>IF('Test Completo'!H146="","",'Test Completo'!H146)</f>
        <v>3.16</v>
      </c>
      <c r="G146" s="26">
        <f>IF('Test Completo'!L146="","",'Test Completo'!L146)</f>
        <v>3.32</v>
      </c>
      <c r="H146" s="26">
        <f>IF('Test Completo'!T146="","",'Test Completo'!T146)</f>
        <v>1.1000000000000001</v>
      </c>
      <c r="I146" s="2" t="str">
        <f>IF('Test Completo'!M146="","non eseguita",IF(N('Test Completo'!M146)=0,"timeout",IF(OR(N('Test Completo'!H146)&lt;0,N('Test Completo'!L146)&lt;0),"tempi negativi",IF(N('Test Completo'!I146)&lt;1,"NavMesh non attivato",IF(N('Test Completo'!T146)&gt;INDEX('Piano del test'!$N$5:$N$13,MATCH(B146,'Piano del test'!$A$5:$A$13,0)),"blocco al totem",IF(OR(N('Test Completo'!M146)&gt;'Piano del test'!$C$19,N('Test Completo'!H146)&gt;'Piano del test'!$C$20),"oltre le soglie","riuscita"))))))</f>
        <v>riuscita</v>
      </c>
      <c r="J146" s="27">
        <f t="shared" si="4"/>
        <v>26.3</v>
      </c>
    </row>
    <row r="147" spans="1:10" x14ac:dyDescent="0.45">
      <c r="A147" s="25">
        <f>'Test Completo'!A147</f>
        <v>1442</v>
      </c>
      <c r="B147" s="2" t="str">
        <f>IFERROR(INDEX('Piano del test'!$A$5:$A$13,MATCH('Test Completo'!B147&amp;"|"&amp;'Test Completo'!C147&amp;"|"&amp;'Test Completo'!D147&amp;"|"&amp;'Test Completo'!E147,'Piano del test'!$R$5:$R$13,0)),"?")</f>
        <v>T2</v>
      </c>
      <c r="C147" s="25">
        <f>'Test Completo'!G147</f>
        <v>20</v>
      </c>
      <c r="D147" s="26">
        <f>IF('Test Completo'!M147="","",'Test Completo'!M147)</f>
        <v>31.12</v>
      </c>
      <c r="E147" s="25">
        <f>IF('Test Completo'!I147="","",'Test Completo'!I147)</f>
        <v>1</v>
      </c>
      <c r="F147" s="26">
        <f>IF('Test Completo'!H147="","",'Test Completo'!H147)</f>
        <v>5.7</v>
      </c>
      <c r="G147" s="26">
        <f>IF('Test Completo'!L147="","",'Test Completo'!L147)</f>
        <v>3.24</v>
      </c>
      <c r="H147" s="26">
        <f>IF('Test Completo'!T147="","",'Test Completo'!T147)</f>
        <v>0.96</v>
      </c>
      <c r="I147" s="2" t="str">
        <f>IF('Test Completo'!M147="","non eseguita",IF(N('Test Completo'!M147)=0,"timeout",IF(OR(N('Test Completo'!H147)&lt;0,N('Test Completo'!L147)&lt;0),"tempi negativi",IF(N('Test Completo'!I147)&lt;1,"NavMesh non attivato",IF(N('Test Completo'!T147)&gt;INDEX('Piano del test'!$N$5:$N$13,MATCH(B147,'Piano del test'!$A$5:$A$13,0)),"blocco al totem",IF(OR(N('Test Completo'!M147)&gt;'Piano del test'!$C$19,N('Test Completo'!H147)&gt;'Piano del test'!$C$20),"oltre le soglie","riuscita"))))))</f>
        <v>riuscita</v>
      </c>
      <c r="J147" s="27">
        <f t="shared" si="4"/>
        <v>31.12</v>
      </c>
    </row>
    <row r="148" spans="1:10" x14ac:dyDescent="0.45">
      <c r="A148" s="25">
        <f>'Test Completo'!A148</f>
        <v>1443</v>
      </c>
      <c r="B148" s="2" t="str">
        <f>IFERROR(INDEX('Piano del test'!$A$5:$A$13,MATCH('Test Completo'!B148&amp;"|"&amp;'Test Completo'!C148&amp;"|"&amp;'Test Completo'!D148&amp;"|"&amp;'Test Completo'!E148,'Piano del test'!$R$5:$R$13,0)),"?")</f>
        <v>T3</v>
      </c>
      <c r="C148" s="25">
        <f>'Test Completo'!G148</f>
        <v>20</v>
      </c>
      <c r="D148" s="26">
        <f>IF('Test Completo'!M148="","",'Test Completo'!M148)</f>
        <v>30.74</v>
      </c>
      <c r="E148" s="25">
        <f>IF('Test Completo'!I148="","",'Test Completo'!I148)</f>
        <v>1</v>
      </c>
      <c r="F148" s="26">
        <f>IF('Test Completo'!H148="","",'Test Completo'!H148)</f>
        <v>2.9</v>
      </c>
      <c r="G148" s="26">
        <f>IF('Test Completo'!L148="","",'Test Completo'!L148)</f>
        <v>9.68</v>
      </c>
      <c r="H148" s="26">
        <f>IF('Test Completo'!T148="","",'Test Completo'!T148)</f>
        <v>4.82</v>
      </c>
      <c r="I148" s="2" t="str">
        <f>IF('Test Completo'!M148="","non eseguita",IF(N('Test Completo'!M148)=0,"timeout",IF(OR(N('Test Completo'!H148)&lt;0,N('Test Completo'!L148)&lt;0),"tempi negativi",IF(N('Test Completo'!I148)&lt;1,"NavMesh non attivato",IF(N('Test Completo'!T148)&gt;INDEX('Piano del test'!$N$5:$N$13,MATCH(B148,'Piano del test'!$A$5:$A$13,0)),"blocco al totem",IF(OR(N('Test Completo'!M148)&gt;'Piano del test'!$C$19,N('Test Completo'!H148)&gt;'Piano del test'!$C$20),"oltre le soglie","riuscita"))))))</f>
        <v>riuscita</v>
      </c>
      <c r="J148" s="27">
        <f t="shared" si="4"/>
        <v>30.74</v>
      </c>
    </row>
    <row r="149" spans="1:10" x14ac:dyDescent="0.45">
      <c r="A149" s="25">
        <f>'Test Completo'!A149</f>
        <v>1444</v>
      </c>
      <c r="B149" s="2" t="str">
        <f>IFERROR(INDEX('Piano del test'!$A$5:$A$13,MATCH('Test Completo'!B149&amp;"|"&amp;'Test Completo'!C149&amp;"|"&amp;'Test Completo'!D149&amp;"|"&amp;'Test Completo'!E149,'Piano del test'!$R$5:$R$13,0)),"?")</f>
        <v>T4</v>
      </c>
      <c r="C149" s="25">
        <f>'Test Completo'!G149</f>
        <v>20</v>
      </c>
      <c r="D149" s="26">
        <f>IF('Test Completo'!M149="","",'Test Completo'!M149)</f>
        <v>28.9</v>
      </c>
      <c r="E149" s="25">
        <f>IF('Test Completo'!I149="","",'Test Completo'!I149)</f>
        <v>1</v>
      </c>
      <c r="F149" s="26">
        <f>IF('Test Completo'!H149="","",'Test Completo'!H149)</f>
        <v>1.68</v>
      </c>
      <c r="G149" s="26">
        <f>IF('Test Completo'!L149="","",'Test Completo'!L149)</f>
        <v>9.64</v>
      </c>
      <c r="H149" s="26">
        <f>IF('Test Completo'!T149="","",'Test Completo'!T149)</f>
        <v>4.84</v>
      </c>
      <c r="I149" s="2" t="str">
        <f>IF('Test Completo'!M149="","non eseguita",IF(N('Test Completo'!M149)=0,"timeout",IF(OR(N('Test Completo'!H149)&lt;0,N('Test Completo'!L149)&lt;0),"tempi negativi",IF(N('Test Completo'!I149)&lt;1,"NavMesh non attivato",IF(N('Test Completo'!T149)&gt;INDEX('Piano del test'!$N$5:$N$13,MATCH(B149,'Piano del test'!$A$5:$A$13,0)),"blocco al totem",IF(OR(N('Test Completo'!M149)&gt;'Piano del test'!$C$19,N('Test Completo'!H149)&gt;'Piano del test'!$C$20),"oltre le soglie","riuscita"))))))</f>
        <v>riuscita</v>
      </c>
      <c r="J149" s="27">
        <f t="shared" si="4"/>
        <v>28.9</v>
      </c>
    </row>
    <row r="150" spans="1:10" x14ac:dyDescent="0.45">
      <c r="A150" s="25">
        <f>'Test Completo'!A150</f>
        <v>1445</v>
      </c>
      <c r="B150" s="2" t="str">
        <f>IFERROR(INDEX('Piano del test'!$A$5:$A$13,MATCH('Test Completo'!B150&amp;"|"&amp;'Test Completo'!C150&amp;"|"&amp;'Test Completo'!D150&amp;"|"&amp;'Test Completo'!E150,'Piano del test'!$R$5:$R$13,0)),"?")</f>
        <v>T5</v>
      </c>
      <c r="C150" s="25">
        <f>'Test Completo'!G150</f>
        <v>20</v>
      </c>
      <c r="D150" s="26">
        <f>IF('Test Completo'!M150="","",'Test Completo'!M150)</f>
        <v>36.659999999999997</v>
      </c>
      <c r="E150" s="25">
        <f>IF('Test Completo'!I150="","",'Test Completo'!I150)</f>
        <v>1</v>
      </c>
      <c r="F150" s="26">
        <f>IF('Test Completo'!H150="","",'Test Completo'!H150)</f>
        <v>1.82</v>
      </c>
      <c r="G150" s="26">
        <f>IF('Test Completo'!L150="","",'Test Completo'!L150)</f>
        <v>9.6</v>
      </c>
      <c r="H150" s="26">
        <f>IF('Test Completo'!T150="","",'Test Completo'!T150)</f>
        <v>4.84</v>
      </c>
      <c r="I150" s="2" t="str">
        <f>IF('Test Completo'!M150="","non eseguita",IF(N('Test Completo'!M150)=0,"timeout",IF(OR(N('Test Completo'!H150)&lt;0,N('Test Completo'!L150)&lt;0),"tempi negativi",IF(N('Test Completo'!I150)&lt;1,"NavMesh non attivato",IF(N('Test Completo'!T150)&gt;INDEX('Piano del test'!$N$5:$N$13,MATCH(B150,'Piano del test'!$A$5:$A$13,0)),"blocco al totem",IF(OR(N('Test Completo'!M150)&gt;'Piano del test'!$C$19,N('Test Completo'!H150)&gt;'Piano del test'!$C$20),"oltre le soglie","riuscita"))))))</f>
        <v>riuscita</v>
      </c>
      <c r="J150" s="27">
        <f t="shared" si="4"/>
        <v>36.659999999999997</v>
      </c>
    </row>
    <row r="151" spans="1:10" x14ac:dyDescent="0.45">
      <c r="A151" s="25">
        <f>'Test Completo'!A151</f>
        <v>1446</v>
      </c>
      <c r="B151" s="2" t="str">
        <f>IFERROR(INDEX('Piano del test'!$A$5:$A$13,MATCH('Test Completo'!B151&amp;"|"&amp;'Test Completo'!C151&amp;"|"&amp;'Test Completo'!D151&amp;"|"&amp;'Test Completo'!E151,'Piano del test'!$R$5:$R$13,0)),"?")</f>
        <v>T6</v>
      </c>
      <c r="C151" s="25">
        <f>'Test Completo'!G151</f>
        <v>20</v>
      </c>
      <c r="D151" s="26">
        <f>IF('Test Completo'!M151="","",'Test Completo'!M151)</f>
        <v>26.14</v>
      </c>
      <c r="E151" s="25">
        <f>IF('Test Completo'!I151="","",'Test Completo'!I151)</f>
        <v>1</v>
      </c>
      <c r="F151" s="26">
        <f>IF('Test Completo'!H151="","",'Test Completo'!H151)</f>
        <v>3.2</v>
      </c>
      <c r="G151" s="26">
        <f>IF('Test Completo'!L151="","",'Test Completo'!L151)</f>
        <v>3.14</v>
      </c>
      <c r="H151" s="26">
        <f>IF('Test Completo'!T151="","",'Test Completo'!T151)</f>
        <v>0.96</v>
      </c>
      <c r="I151" s="2" t="str">
        <f>IF('Test Completo'!M151="","non eseguita",IF(N('Test Completo'!M151)=0,"timeout",IF(OR(N('Test Completo'!H151)&lt;0,N('Test Completo'!L151)&lt;0),"tempi negativi",IF(N('Test Completo'!I151)&lt;1,"NavMesh non attivato",IF(N('Test Completo'!T151)&gt;INDEX('Piano del test'!$N$5:$N$13,MATCH(B151,'Piano del test'!$A$5:$A$13,0)),"blocco al totem",IF(OR(N('Test Completo'!M151)&gt;'Piano del test'!$C$19,N('Test Completo'!H151)&gt;'Piano del test'!$C$20),"oltre le soglie","riuscita"))))))</f>
        <v>riuscita</v>
      </c>
      <c r="J151" s="27">
        <f t="shared" si="4"/>
        <v>26.14</v>
      </c>
    </row>
    <row r="152" spans="1:10" x14ac:dyDescent="0.45">
      <c r="A152" s="25">
        <f>'Test Completo'!A152</f>
        <v>1447</v>
      </c>
      <c r="B152" s="2" t="str">
        <f>IFERROR(INDEX('Piano del test'!$A$5:$A$13,MATCH('Test Completo'!B152&amp;"|"&amp;'Test Completo'!C152&amp;"|"&amp;'Test Completo'!D152&amp;"|"&amp;'Test Completo'!E152,'Piano del test'!$R$5:$R$13,0)),"?")</f>
        <v>T7</v>
      </c>
      <c r="C152" s="25">
        <f>'Test Completo'!G152</f>
        <v>20</v>
      </c>
      <c r="D152" s="26">
        <f>IF('Test Completo'!M152="","",'Test Completo'!M152)</f>
        <v>28.28</v>
      </c>
      <c r="E152" s="25">
        <f>IF('Test Completo'!I152="","",'Test Completo'!I152)</f>
        <v>1</v>
      </c>
      <c r="F152" s="26">
        <f>IF('Test Completo'!H152="","",'Test Completo'!H152)</f>
        <v>1.34</v>
      </c>
      <c r="G152" s="26">
        <f>IF('Test Completo'!L152="","",'Test Completo'!L152)</f>
        <v>9.6199999999999992</v>
      </c>
      <c r="H152" s="26">
        <f>IF('Test Completo'!T152="","",'Test Completo'!T152)</f>
        <v>4.72</v>
      </c>
      <c r="I152" s="2" t="str">
        <f>IF('Test Completo'!M152="","non eseguita",IF(N('Test Completo'!M152)=0,"timeout",IF(OR(N('Test Completo'!H152)&lt;0,N('Test Completo'!L152)&lt;0),"tempi negativi",IF(N('Test Completo'!I152)&lt;1,"NavMesh non attivato",IF(N('Test Completo'!T152)&gt;INDEX('Piano del test'!$N$5:$N$13,MATCH(B152,'Piano del test'!$A$5:$A$13,0)),"blocco al totem",IF(OR(N('Test Completo'!M152)&gt;'Piano del test'!$C$19,N('Test Completo'!H152)&gt;'Piano del test'!$C$20),"oltre le soglie","riuscita"))))))</f>
        <v>riuscita</v>
      </c>
      <c r="J152" s="27">
        <f t="shared" si="4"/>
        <v>28.28</v>
      </c>
    </row>
    <row r="153" spans="1:10" x14ac:dyDescent="0.45">
      <c r="A153" s="25">
        <f>'Test Completo'!A153</f>
        <v>1448</v>
      </c>
      <c r="B153" s="2" t="str">
        <f>IFERROR(INDEX('Piano del test'!$A$5:$A$13,MATCH('Test Completo'!B153&amp;"|"&amp;'Test Completo'!C153&amp;"|"&amp;'Test Completo'!D153&amp;"|"&amp;'Test Completo'!E153,'Piano del test'!$R$5:$R$13,0)),"?")</f>
        <v>T8</v>
      </c>
      <c r="C153" s="25">
        <f>'Test Completo'!G153</f>
        <v>20</v>
      </c>
      <c r="D153" s="26">
        <f>IF('Test Completo'!M153="","",'Test Completo'!M153)</f>
        <v>54.22</v>
      </c>
      <c r="E153" s="25">
        <f>IF('Test Completo'!I153="","",'Test Completo'!I153)</f>
        <v>1</v>
      </c>
      <c r="F153" s="26">
        <f>IF('Test Completo'!H153="","",'Test Completo'!H153)</f>
        <v>3.4</v>
      </c>
      <c r="G153" s="26">
        <f>IF('Test Completo'!L153="","",'Test Completo'!L153)</f>
        <v>30.44</v>
      </c>
      <c r="H153" s="26">
        <f>IF('Test Completo'!T153="","",'Test Completo'!T153)</f>
        <v>28.18</v>
      </c>
      <c r="I153" s="2" t="str">
        <f>IF('Test Completo'!M153="","non eseguita",IF(N('Test Completo'!M153)=0,"timeout",IF(OR(N('Test Completo'!H153)&lt;0,N('Test Completo'!L153)&lt;0),"tempi negativi",IF(N('Test Completo'!I153)&lt;1,"NavMesh non attivato",IF(N('Test Completo'!T153)&gt;INDEX('Piano del test'!$N$5:$N$13,MATCH(B153,'Piano del test'!$A$5:$A$13,0)),"blocco al totem",IF(OR(N('Test Completo'!M153)&gt;'Piano del test'!$C$19,N('Test Completo'!H153)&gt;'Piano del test'!$C$20),"oltre le soglie","riuscita"))))))</f>
        <v>blocco al totem</v>
      </c>
      <c r="J153" s="27">
        <f t="shared" si="4"/>
        <v>0</v>
      </c>
    </row>
    <row r="154" spans="1:10" x14ac:dyDescent="0.45">
      <c r="A154" s="25">
        <f>'Test Completo'!A154</f>
        <v>1449</v>
      </c>
      <c r="B154" s="2" t="str">
        <f>IFERROR(INDEX('Piano del test'!$A$5:$A$13,MATCH('Test Completo'!B154&amp;"|"&amp;'Test Completo'!C154&amp;"|"&amp;'Test Completo'!D154&amp;"|"&amp;'Test Completo'!E154,'Piano del test'!$R$5:$R$13,0)),"?")</f>
        <v>T9</v>
      </c>
      <c r="C154" s="25">
        <f>'Test Completo'!G154</f>
        <v>20</v>
      </c>
      <c r="D154" s="26">
        <f>IF('Test Completo'!M154="","",'Test Completo'!M154)</f>
        <v>30.44</v>
      </c>
      <c r="E154" s="25">
        <f>IF('Test Completo'!I154="","",'Test Completo'!I154)</f>
        <v>1</v>
      </c>
      <c r="F154" s="26">
        <f>IF('Test Completo'!H154="","",'Test Completo'!H154)</f>
        <v>1.7</v>
      </c>
      <c r="G154" s="26">
        <f>IF('Test Completo'!L154="","",'Test Completo'!L154)</f>
        <v>5.22</v>
      </c>
      <c r="H154" s="26">
        <f>IF('Test Completo'!T154="","",'Test Completo'!T154)</f>
        <v>2.16</v>
      </c>
      <c r="I154" s="2" t="str">
        <f>IF('Test Completo'!M154="","non eseguita",IF(N('Test Completo'!M154)=0,"timeout",IF(OR(N('Test Completo'!H154)&lt;0,N('Test Completo'!L154)&lt;0),"tempi negativi",IF(N('Test Completo'!I154)&lt;1,"NavMesh non attivato",IF(N('Test Completo'!T154)&gt;INDEX('Piano del test'!$N$5:$N$13,MATCH(B154,'Piano del test'!$A$5:$A$13,0)),"blocco al totem",IF(OR(N('Test Completo'!M154)&gt;'Piano del test'!$C$19,N('Test Completo'!H154)&gt;'Piano del test'!$C$20),"oltre le soglie","riuscita"))))))</f>
        <v>riuscita</v>
      </c>
      <c r="J154" s="27">
        <f t="shared" si="4"/>
        <v>30.44</v>
      </c>
    </row>
    <row r="155" spans="1:10" x14ac:dyDescent="0.45">
      <c r="A155" s="25">
        <f>'Test Completo'!A155</f>
        <v>1450</v>
      </c>
      <c r="B155" s="2" t="str">
        <f>IFERROR(INDEX('Piano del test'!$A$5:$A$13,MATCH('Test Completo'!B155&amp;"|"&amp;'Test Completo'!C155&amp;"|"&amp;'Test Completo'!D155&amp;"|"&amp;'Test Completo'!E155,'Piano del test'!$R$5:$R$13,0)),"?")</f>
        <v>T1</v>
      </c>
      <c r="C155" s="25">
        <f>'Test Completo'!G155</f>
        <v>21</v>
      </c>
      <c r="D155" s="26">
        <f>IF('Test Completo'!M155="","",'Test Completo'!M155)</f>
        <v>26.94</v>
      </c>
      <c r="E155" s="25">
        <f>IF('Test Completo'!I155="","",'Test Completo'!I155)</f>
        <v>1</v>
      </c>
      <c r="F155" s="26">
        <f>IF('Test Completo'!H155="","",'Test Completo'!H155)</f>
        <v>3.16</v>
      </c>
      <c r="G155" s="26">
        <f>IF('Test Completo'!L155="","",'Test Completo'!L155)</f>
        <v>3.32</v>
      </c>
      <c r="H155" s="26">
        <f>IF('Test Completo'!T155="","",'Test Completo'!T155)</f>
        <v>1.06</v>
      </c>
      <c r="I155" s="2" t="str">
        <f>IF('Test Completo'!M155="","non eseguita",IF(N('Test Completo'!M155)=0,"timeout",IF(OR(N('Test Completo'!H155)&lt;0,N('Test Completo'!L155)&lt;0),"tempi negativi",IF(N('Test Completo'!I155)&lt;1,"NavMesh non attivato",IF(N('Test Completo'!T155)&gt;INDEX('Piano del test'!$N$5:$N$13,MATCH(B155,'Piano del test'!$A$5:$A$13,0)),"blocco al totem",IF(OR(N('Test Completo'!M155)&gt;'Piano del test'!$C$19,N('Test Completo'!H155)&gt;'Piano del test'!$C$20),"oltre le soglie","riuscita"))))))</f>
        <v>riuscita</v>
      </c>
      <c r="J155" s="27">
        <f t="shared" si="4"/>
        <v>26.94</v>
      </c>
    </row>
    <row r="156" spans="1:10" x14ac:dyDescent="0.45">
      <c r="A156" s="25">
        <f>'Test Completo'!A156</f>
        <v>1451</v>
      </c>
      <c r="B156" s="2" t="str">
        <f>IFERROR(INDEX('Piano del test'!$A$5:$A$13,MATCH('Test Completo'!B156&amp;"|"&amp;'Test Completo'!C156&amp;"|"&amp;'Test Completo'!D156&amp;"|"&amp;'Test Completo'!E156,'Piano del test'!$R$5:$R$13,0)),"?")</f>
        <v>T2</v>
      </c>
      <c r="C156" s="25">
        <f>'Test Completo'!G156</f>
        <v>21</v>
      </c>
      <c r="D156" s="26">
        <f>IF('Test Completo'!M156="","",'Test Completo'!M156)</f>
        <v>26.9</v>
      </c>
      <c r="E156" s="25">
        <f>IF('Test Completo'!I156="","",'Test Completo'!I156)</f>
        <v>1</v>
      </c>
      <c r="F156" s="26">
        <f>IF('Test Completo'!H156="","",'Test Completo'!H156)</f>
        <v>3.16</v>
      </c>
      <c r="G156" s="26">
        <f>IF('Test Completo'!L156="","",'Test Completo'!L156)</f>
        <v>3.18</v>
      </c>
      <c r="H156" s="26">
        <f>IF('Test Completo'!T156="","",'Test Completo'!T156)</f>
        <v>0.98</v>
      </c>
      <c r="I156" s="2" t="str">
        <f>IF('Test Completo'!M156="","non eseguita",IF(N('Test Completo'!M156)=0,"timeout",IF(OR(N('Test Completo'!H156)&lt;0,N('Test Completo'!L156)&lt;0),"tempi negativi",IF(N('Test Completo'!I156)&lt;1,"NavMesh non attivato",IF(N('Test Completo'!T156)&gt;INDEX('Piano del test'!$N$5:$N$13,MATCH(B156,'Piano del test'!$A$5:$A$13,0)),"blocco al totem",IF(OR(N('Test Completo'!M156)&gt;'Piano del test'!$C$19,N('Test Completo'!H156)&gt;'Piano del test'!$C$20),"oltre le soglie","riuscita"))))))</f>
        <v>riuscita</v>
      </c>
      <c r="J156" s="27">
        <f t="shared" si="4"/>
        <v>26.9</v>
      </c>
    </row>
    <row r="157" spans="1:10" x14ac:dyDescent="0.45">
      <c r="A157" s="25">
        <f>'Test Completo'!A157</f>
        <v>1452</v>
      </c>
      <c r="B157" s="2" t="str">
        <f>IFERROR(INDEX('Piano del test'!$A$5:$A$13,MATCH('Test Completo'!B157&amp;"|"&amp;'Test Completo'!C157&amp;"|"&amp;'Test Completo'!D157&amp;"|"&amp;'Test Completo'!E157,'Piano del test'!$R$5:$R$13,0)),"?")</f>
        <v>T3</v>
      </c>
      <c r="C157" s="25">
        <f>'Test Completo'!G157</f>
        <v>21</v>
      </c>
      <c r="D157" s="26">
        <f>IF('Test Completo'!M157="","",'Test Completo'!M157)</f>
        <v>34.56</v>
      </c>
      <c r="E157" s="25">
        <f>IF('Test Completo'!I157="","",'Test Completo'!I157)</f>
        <v>1</v>
      </c>
      <c r="F157" s="26">
        <f>IF('Test Completo'!H157="","",'Test Completo'!H157)</f>
        <v>2.04</v>
      </c>
      <c r="G157" s="26">
        <f>IF('Test Completo'!L157="","",'Test Completo'!L157)</f>
        <v>9.6199999999999992</v>
      </c>
      <c r="H157" s="26">
        <f>IF('Test Completo'!T157="","",'Test Completo'!T157)</f>
        <v>4.78</v>
      </c>
      <c r="I157" s="2" t="str">
        <f>IF('Test Completo'!M157="","non eseguita",IF(N('Test Completo'!M157)=0,"timeout",IF(OR(N('Test Completo'!H157)&lt;0,N('Test Completo'!L157)&lt;0),"tempi negativi",IF(N('Test Completo'!I157)&lt;1,"NavMesh non attivato",IF(N('Test Completo'!T157)&gt;INDEX('Piano del test'!$N$5:$N$13,MATCH(B157,'Piano del test'!$A$5:$A$13,0)),"blocco al totem",IF(OR(N('Test Completo'!M157)&gt;'Piano del test'!$C$19,N('Test Completo'!H157)&gt;'Piano del test'!$C$20),"oltre le soglie","riuscita"))))))</f>
        <v>riuscita</v>
      </c>
      <c r="J157" s="27">
        <f t="shared" si="4"/>
        <v>34.56</v>
      </c>
    </row>
    <row r="158" spans="1:10" x14ac:dyDescent="0.45">
      <c r="A158" s="25">
        <f>'Test Completo'!A158</f>
        <v>1453</v>
      </c>
      <c r="B158" s="2" t="str">
        <f>IFERROR(INDEX('Piano del test'!$A$5:$A$13,MATCH('Test Completo'!B158&amp;"|"&amp;'Test Completo'!C158&amp;"|"&amp;'Test Completo'!D158&amp;"|"&amp;'Test Completo'!E158,'Piano del test'!$R$5:$R$13,0)),"?")</f>
        <v>T4</v>
      </c>
      <c r="C158" s="25">
        <f>'Test Completo'!G158</f>
        <v>21</v>
      </c>
      <c r="D158" s="26">
        <f>IF('Test Completo'!M158="","",'Test Completo'!M158)</f>
        <v>36.380000000000003</v>
      </c>
      <c r="E158" s="25">
        <f>IF('Test Completo'!I158="","",'Test Completo'!I158)</f>
        <v>1</v>
      </c>
      <c r="F158" s="26">
        <f>IF('Test Completo'!H158="","",'Test Completo'!H158)</f>
        <v>1.42</v>
      </c>
      <c r="G158" s="26">
        <f>IF('Test Completo'!L158="","",'Test Completo'!L158)</f>
        <v>9.7200000000000006</v>
      </c>
      <c r="H158" s="26">
        <f>IF('Test Completo'!T158="","",'Test Completo'!T158)</f>
        <v>4.82</v>
      </c>
      <c r="I158" s="2" t="str">
        <f>IF('Test Completo'!M158="","non eseguita",IF(N('Test Completo'!M158)=0,"timeout",IF(OR(N('Test Completo'!H158)&lt;0,N('Test Completo'!L158)&lt;0),"tempi negativi",IF(N('Test Completo'!I158)&lt;1,"NavMesh non attivato",IF(N('Test Completo'!T158)&gt;INDEX('Piano del test'!$N$5:$N$13,MATCH(B158,'Piano del test'!$A$5:$A$13,0)),"blocco al totem",IF(OR(N('Test Completo'!M158)&gt;'Piano del test'!$C$19,N('Test Completo'!H158)&gt;'Piano del test'!$C$20),"oltre le soglie","riuscita"))))))</f>
        <v>riuscita</v>
      </c>
      <c r="J158" s="27">
        <f t="shared" si="4"/>
        <v>36.380000000000003</v>
      </c>
    </row>
    <row r="159" spans="1:10" x14ac:dyDescent="0.45">
      <c r="A159" s="25">
        <f>'Test Completo'!A159</f>
        <v>1454</v>
      </c>
      <c r="B159" s="2" t="str">
        <f>IFERROR(INDEX('Piano del test'!$A$5:$A$13,MATCH('Test Completo'!B159&amp;"|"&amp;'Test Completo'!C159&amp;"|"&amp;'Test Completo'!D159&amp;"|"&amp;'Test Completo'!E159,'Piano del test'!$R$5:$R$13,0)),"?")</f>
        <v>T5</v>
      </c>
      <c r="C159" s="25">
        <f>'Test Completo'!G159</f>
        <v>21</v>
      </c>
      <c r="D159" s="26">
        <f>IF('Test Completo'!M159="","",'Test Completo'!M159)</f>
        <v>32.08</v>
      </c>
      <c r="E159" s="25">
        <f>IF('Test Completo'!I159="","",'Test Completo'!I159)</f>
        <v>1</v>
      </c>
      <c r="F159" s="26">
        <f>IF('Test Completo'!H159="","",'Test Completo'!H159)</f>
        <v>1.6</v>
      </c>
      <c r="G159" s="26">
        <f>IF('Test Completo'!L159="","",'Test Completo'!L159)</f>
        <v>9.7200000000000006</v>
      </c>
      <c r="H159" s="26">
        <f>IF('Test Completo'!T159="","",'Test Completo'!T159)</f>
        <v>4.8600000000000003</v>
      </c>
      <c r="I159" s="2" t="str">
        <f>IF('Test Completo'!M159="","non eseguita",IF(N('Test Completo'!M159)=0,"timeout",IF(OR(N('Test Completo'!H159)&lt;0,N('Test Completo'!L159)&lt;0),"tempi negativi",IF(N('Test Completo'!I159)&lt;1,"NavMesh non attivato",IF(N('Test Completo'!T159)&gt;INDEX('Piano del test'!$N$5:$N$13,MATCH(B159,'Piano del test'!$A$5:$A$13,0)),"blocco al totem",IF(OR(N('Test Completo'!M159)&gt;'Piano del test'!$C$19,N('Test Completo'!H159)&gt;'Piano del test'!$C$20),"oltre le soglie","riuscita"))))))</f>
        <v>riuscita</v>
      </c>
      <c r="J159" s="27">
        <f t="shared" si="4"/>
        <v>32.08</v>
      </c>
    </row>
    <row r="160" spans="1:10" x14ac:dyDescent="0.45">
      <c r="A160" s="25">
        <f>'Test Completo'!A160</f>
        <v>1455</v>
      </c>
      <c r="B160" s="2" t="str">
        <f>IFERROR(INDEX('Piano del test'!$A$5:$A$13,MATCH('Test Completo'!B160&amp;"|"&amp;'Test Completo'!C160&amp;"|"&amp;'Test Completo'!D160&amp;"|"&amp;'Test Completo'!E160,'Piano del test'!$R$5:$R$13,0)),"?")</f>
        <v>T6</v>
      </c>
      <c r="C160" s="25">
        <f>'Test Completo'!G160</f>
        <v>21</v>
      </c>
      <c r="D160" s="26">
        <f>IF('Test Completo'!M160="","",'Test Completo'!M160)</f>
        <v>39.479999999999997</v>
      </c>
      <c r="E160" s="25">
        <f>IF('Test Completo'!I160="","",'Test Completo'!I160)</f>
        <v>1</v>
      </c>
      <c r="F160" s="26">
        <f>IF('Test Completo'!H160="","",'Test Completo'!H160)</f>
        <v>3.16</v>
      </c>
      <c r="G160" s="26">
        <f>IF('Test Completo'!L160="","",'Test Completo'!L160)</f>
        <v>9.7799999999999994</v>
      </c>
      <c r="H160" s="26">
        <f>IF('Test Completo'!T160="","",'Test Completo'!T160)</f>
        <v>7.56</v>
      </c>
      <c r="I160" s="2" t="str">
        <f>IF('Test Completo'!M160="","non eseguita",IF(N('Test Completo'!M160)=0,"timeout",IF(OR(N('Test Completo'!H160)&lt;0,N('Test Completo'!L160)&lt;0),"tempi negativi",IF(N('Test Completo'!I160)&lt;1,"NavMesh non attivato",IF(N('Test Completo'!T160)&gt;INDEX('Piano del test'!$N$5:$N$13,MATCH(B160,'Piano del test'!$A$5:$A$13,0)),"blocco al totem",IF(OR(N('Test Completo'!M160)&gt;'Piano del test'!$C$19,N('Test Completo'!H160)&gt;'Piano del test'!$C$20),"oltre le soglie","riuscita"))))))</f>
        <v>riuscita</v>
      </c>
      <c r="J160" s="27">
        <f t="shared" si="4"/>
        <v>39.479999999999997</v>
      </c>
    </row>
    <row r="161" spans="1:10" x14ac:dyDescent="0.45">
      <c r="A161" s="25">
        <f>'Test Completo'!A161</f>
        <v>1456</v>
      </c>
      <c r="B161" s="2" t="str">
        <f>IFERROR(INDEX('Piano del test'!$A$5:$A$13,MATCH('Test Completo'!B161&amp;"|"&amp;'Test Completo'!C161&amp;"|"&amp;'Test Completo'!D161&amp;"|"&amp;'Test Completo'!E161,'Piano del test'!$R$5:$R$13,0)),"?")</f>
        <v>T7</v>
      </c>
      <c r="C161" s="25">
        <f>'Test Completo'!G161</f>
        <v>21</v>
      </c>
      <c r="D161" s="26">
        <f>IF('Test Completo'!M161="","",'Test Completo'!M161)</f>
        <v>28.92</v>
      </c>
      <c r="E161" s="25">
        <f>IF('Test Completo'!I161="","",'Test Completo'!I161)</f>
        <v>1</v>
      </c>
      <c r="F161" s="26">
        <f>IF('Test Completo'!H161="","",'Test Completo'!H161)</f>
        <v>1.58</v>
      </c>
      <c r="G161" s="26">
        <f>IF('Test Completo'!L161="","",'Test Completo'!L161)</f>
        <v>9.5</v>
      </c>
      <c r="H161" s="26">
        <f>IF('Test Completo'!T161="","",'Test Completo'!T161)</f>
        <v>4.8</v>
      </c>
      <c r="I161" s="2" t="str">
        <f>IF('Test Completo'!M161="","non eseguita",IF(N('Test Completo'!M161)=0,"timeout",IF(OR(N('Test Completo'!H161)&lt;0,N('Test Completo'!L161)&lt;0),"tempi negativi",IF(N('Test Completo'!I161)&lt;1,"NavMesh non attivato",IF(N('Test Completo'!T161)&gt;INDEX('Piano del test'!$N$5:$N$13,MATCH(B161,'Piano del test'!$A$5:$A$13,0)),"blocco al totem",IF(OR(N('Test Completo'!M161)&gt;'Piano del test'!$C$19,N('Test Completo'!H161)&gt;'Piano del test'!$C$20),"oltre le soglie","riuscita"))))))</f>
        <v>riuscita</v>
      </c>
      <c r="J161" s="27">
        <f t="shared" si="4"/>
        <v>28.92</v>
      </c>
    </row>
    <row r="162" spans="1:10" x14ac:dyDescent="0.45">
      <c r="A162" s="25">
        <f>'Test Completo'!A162</f>
        <v>1457</v>
      </c>
      <c r="B162" s="2" t="str">
        <f>IFERROR(INDEX('Piano del test'!$A$5:$A$13,MATCH('Test Completo'!B162&amp;"|"&amp;'Test Completo'!C162&amp;"|"&amp;'Test Completo'!D162&amp;"|"&amp;'Test Completo'!E162,'Piano del test'!$R$5:$R$13,0)),"?")</f>
        <v>T8</v>
      </c>
      <c r="C162" s="25">
        <f>'Test Completo'!G162</f>
        <v>21</v>
      </c>
      <c r="D162" s="26">
        <f>IF('Test Completo'!M162="","",'Test Completo'!M162)</f>
        <v>26.68</v>
      </c>
      <c r="E162" s="25">
        <f>IF('Test Completo'!I162="","",'Test Completo'!I162)</f>
        <v>1</v>
      </c>
      <c r="F162" s="26">
        <f>IF('Test Completo'!H162="","",'Test Completo'!H162)</f>
        <v>3.18</v>
      </c>
      <c r="G162" s="26">
        <f>IF('Test Completo'!L162="","",'Test Completo'!L162)</f>
        <v>3.24</v>
      </c>
      <c r="H162" s="26">
        <f>IF('Test Completo'!T162="","",'Test Completo'!T162)</f>
        <v>0.98</v>
      </c>
      <c r="I162" s="2" t="str">
        <f>IF('Test Completo'!M162="","non eseguita",IF(N('Test Completo'!M162)=0,"timeout",IF(OR(N('Test Completo'!H162)&lt;0,N('Test Completo'!L162)&lt;0),"tempi negativi",IF(N('Test Completo'!I162)&lt;1,"NavMesh non attivato",IF(N('Test Completo'!T162)&gt;INDEX('Piano del test'!$N$5:$N$13,MATCH(B162,'Piano del test'!$A$5:$A$13,0)),"blocco al totem",IF(OR(N('Test Completo'!M162)&gt;'Piano del test'!$C$19,N('Test Completo'!H162)&gt;'Piano del test'!$C$20),"oltre le soglie","riuscita"))))))</f>
        <v>riuscita</v>
      </c>
      <c r="J162" s="27">
        <f t="shared" ref="J162:J193" si="5">IF(I162="riuscita",D162,0)</f>
        <v>26.68</v>
      </c>
    </row>
    <row r="163" spans="1:10" x14ac:dyDescent="0.45">
      <c r="A163" s="25">
        <f>'Test Completo'!A163</f>
        <v>1458</v>
      </c>
      <c r="B163" s="2" t="str">
        <f>IFERROR(INDEX('Piano del test'!$A$5:$A$13,MATCH('Test Completo'!B163&amp;"|"&amp;'Test Completo'!C163&amp;"|"&amp;'Test Completo'!D163&amp;"|"&amp;'Test Completo'!E163,'Piano del test'!$R$5:$R$13,0)),"?")</f>
        <v>T9</v>
      </c>
      <c r="C163" s="25">
        <f>'Test Completo'!G163</f>
        <v>21</v>
      </c>
      <c r="D163" s="26">
        <f>IF('Test Completo'!M163="","",'Test Completo'!M163)</f>
        <v>26.78</v>
      </c>
      <c r="E163" s="25">
        <f>IF('Test Completo'!I163="","",'Test Completo'!I163)</f>
        <v>1</v>
      </c>
      <c r="F163" s="26">
        <f>IF('Test Completo'!H163="","",'Test Completo'!H163)</f>
        <v>1.72</v>
      </c>
      <c r="G163" s="26">
        <f>IF('Test Completo'!L163="","",'Test Completo'!L163)</f>
        <v>5.22</v>
      </c>
      <c r="H163" s="26">
        <f>IF('Test Completo'!T163="","",'Test Completo'!T163)</f>
        <v>2.16</v>
      </c>
      <c r="I163" s="2" t="str">
        <f>IF('Test Completo'!M163="","non eseguita",IF(N('Test Completo'!M163)=0,"timeout",IF(OR(N('Test Completo'!H163)&lt;0,N('Test Completo'!L163)&lt;0),"tempi negativi",IF(N('Test Completo'!I163)&lt;1,"NavMesh non attivato",IF(N('Test Completo'!T163)&gt;INDEX('Piano del test'!$N$5:$N$13,MATCH(B163,'Piano del test'!$A$5:$A$13,0)),"blocco al totem",IF(OR(N('Test Completo'!M163)&gt;'Piano del test'!$C$19,N('Test Completo'!H163)&gt;'Piano del test'!$C$20),"oltre le soglie","riuscita"))))))</f>
        <v>riuscita</v>
      </c>
      <c r="J163" s="27">
        <f t="shared" si="5"/>
        <v>26.78</v>
      </c>
    </row>
    <row r="164" spans="1:10" x14ac:dyDescent="0.45">
      <c r="A164" s="25">
        <f>'Test Completo'!A164</f>
        <v>1459</v>
      </c>
      <c r="B164" s="2" t="str">
        <f>IFERROR(INDEX('Piano del test'!$A$5:$A$13,MATCH('Test Completo'!B164&amp;"|"&amp;'Test Completo'!C164&amp;"|"&amp;'Test Completo'!D164&amp;"|"&amp;'Test Completo'!E164,'Piano del test'!$R$5:$R$13,0)),"?")</f>
        <v>T1</v>
      </c>
      <c r="C164" s="25">
        <f>'Test Completo'!G164</f>
        <v>22</v>
      </c>
      <c r="D164" s="26">
        <f>IF('Test Completo'!M164="","",'Test Completo'!M164)</f>
        <v>32.340000000000003</v>
      </c>
      <c r="E164" s="25">
        <f>IF('Test Completo'!I164="","",'Test Completo'!I164)</f>
        <v>1</v>
      </c>
      <c r="F164" s="26">
        <f>IF('Test Completo'!H164="","",'Test Completo'!H164)</f>
        <v>3.52</v>
      </c>
      <c r="G164" s="26">
        <f>IF('Test Completo'!L164="","",'Test Completo'!L164)</f>
        <v>8.0399999999999991</v>
      </c>
      <c r="H164" s="26">
        <f>IF('Test Completo'!T164="","",'Test Completo'!T164)</f>
        <v>5.82</v>
      </c>
      <c r="I164" s="2" t="str">
        <f>IF('Test Completo'!M164="","non eseguita",IF(N('Test Completo'!M164)=0,"timeout",IF(OR(N('Test Completo'!H164)&lt;0,N('Test Completo'!L164)&lt;0),"tempi negativi",IF(N('Test Completo'!I164)&lt;1,"NavMesh non attivato",IF(N('Test Completo'!T164)&gt;INDEX('Piano del test'!$N$5:$N$13,MATCH(B164,'Piano del test'!$A$5:$A$13,0)),"blocco al totem",IF(OR(N('Test Completo'!M164)&gt;'Piano del test'!$C$19,N('Test Completo'!H164)&gt;'Piano del test'!$C$20),"oltre le soglie","riuscita"))))))</f>
        <v>riuscita</v>
      </c>
      <c r="J164" s="27">
        <f t="shared" si="5"/>
        <v>32.340000000000003</v>
      </c>
    </row>
    <row r="165" spans="1:10" x14ac:dyDescent="0.45">
      <c r="A165" s="25">
        <f>'Test Completo'!A165</f>
        <v>1460</v>
      </c>
      <c r="B165" s="2" t="str">
        <f>IFERROR(INDEX('Piano del test'!$A$5:$A$13,MATCH('Test Completo'!B165&amp;"|"&amp;'Test Completo'!C165&amp;"|"&amp;'Test Completo'!D165&amp;"|"&amp;'Test Completo'!E165,'Piano del test'!$R$5:$R$13,0)),"?")</f>
        <v>T2</v>
      </c>
      <c r="C165" s="25">
        <f>'Test Completo'!G165</f>
        <v>22</v>
      </c>
      <c r="D165" s="26">
        <f>IF('Test Completo'!M165="","",'Test Completo'!M165)</f>
        <v>26.92</v>
      </c>
      <c r="E165" s="25">
        <f>IF('Test Completo'!I165="","",'Test Completo'!I165)</f>
        <v>1</v>
      </c>
      <c r="F165" s="26">
        <f>IF('Test Completo'!H165="","",'Test Completo'!H165)</f>
        <v>3.14</v>
      </c>
      <c r="G165" s="26">
        <f>IF('Test Completo'!L165="","",'Test Completo'!L165)</f>
        <v>3.34</v>
      </c>
      <c r="H165" s="26">
        <f>IF('Test Completo'!T165="","",'Test Completo'!T165)</f>
        <v>1.02</v>
      </c>
      <c r="I165" s="2" t="str">
        <f>IF('Test Completo'!M165="","non eseguita",IF(N('Test Completo'!M165)=0,"timeout",IF(OR(N('Test Completo'!H165)&lt;0,N('Test Completo'!L165)&lt;0),"tempi negativi",IF(N('Test Completo'!I165)&lt;1,"NavMesh non attivato",IF(N('Test Completo'!T165)&gt;INDEX('Piano del test'!$N$5:$N$13,MATCH(B165,'Piano del test'!$A$5:$A$13,0)),"blocco al totem",IF(OR(N('Test Completo'!M165)&gt;'Piano del test'!$C$19,N('Test Completo'!H165)&gt;'Piano del test'!$C$20),"oltre le soglie","riuscita"))))))</f>
        <v>riuscita</v>
      </c>
      <c r="J165" s="27">
        <f t="shared" si="5"/>
        <v>26.92</v>
      </c>
    </row>
    <row r="166" spans="1:10" x14ac:dyDescent="0.45">
      <c r="A166" s="25">
        <f>'Test Completo'!A166</f>
        <v>1461</v>
      </c>
      <c r="B166" s="2" t="str">
        <f>IFERROR(INDEX('Piano del test'!$A$5:$A$13,MATCH('Test Completo'!B166&amp;"|"&amp;'Test Completo'!C166&amp;"|"&amp;'Test Completo'!D166&amp;"|"&amp;'Test Completo'!E166,'Piano del test'!$R$5:$R$13,0)),"?")</f>
        <v>T3</v>
      </c>
      <c r="C166" s="25">
        <f>'Test Completo'!G166</f>
        <v>22</v>
      </c>
      <c r="D166" s="26">
        <f>IF('Test Completo'!M166="","",'Test Completo'!M166)</f>
        <v>35.82</v>
      </c>
      <c r="E166" s="25">
        <f>IF('Test Completo'!I166="","",'Test Completo'!I166)</f>
        <v>1</v>
      </c>
      <c r="F166" s="26">
        <f>IF('Test Completo'!H166="","",'Test Completo'!H166)</f>
        <v>2.66</v>
      </c>
      <c r="G166" s="26">
        <f>IF('Test Completo'!L166="","",'Test Completo'!L166)</f>
        <v>9.6199999999999992</v>
      </c>
      <c r="H166" s="26">
        <f>IF('Test Completo'!T166="","",'Test Completo'!T166)</f>
        <v>4.8</v>
      </c>
      <c r="I166" s="2" t="str">
        <f>IF('Test Completo'!M166="","non eseguita",IF(N('Test Completo'!M166)=0,"timeout",IF(OR(N('Test Completo'!H166)&lt;0,N('Test Completo'!L166)&lt;0),"tempi negativi",IF(N('Test Completo'!I166)&lt;1,"NavMesh non attivato",IF(N('Test Completo'!T166)&gt;INDEX('Piano del test'!$N$5:$N$13,MATCH(B166,'Piano del test'!$A$5:$A$13,0)),"blocco al totem",IF(OR(N('Test Completo'!M166)&gt;'Piano del test'!$C$19,N('Test Completo'!H166)&gt;'Piano del test'!$C$20),"oltre le soglie","riuscita"))))))</f>
        <v>riuscita</v>
      </c>
      <c r="J166" s="27">
        <f t="shared" si="5"/>
        <v>35.82</v>
      </c>
    </row>
    <row r="167" spans="1:10" x14ac:dyDescent="0.45">
      <c r="A167" s="25">
        <f>'Test Completo'!A167</f>
        <v>1462</v>
      </c>
      <c r="B167" s="2" t="str">
        <f>IFERROR(INDEX('Piano del test'!$A$5:$A$13,MATCH('Test Completo'!B167&amp;"|"&amp;'Test Completo'!C167&amp;"|"&amp;'Test Completo'!D167&amp;"|"&amp;'Test Completo'!E167,'Piano del test'!$R$5:$R$13,0)),"?")</f>
        <v>T4</v>
      </c>
      <c r="C167" s="25">
        <f>'Test Completo'!G167</f>
        <v>22</v>
      </c>
      <c r="D167" s="26">
        <f>IF('Test Completo'!M167="","",'Test Completo'!M167)</f>
        <v>28</v>
      </c>
      <c r="E167" s="25">
        <f>IF('Test Completo'!I167="","",'Test Completo'!I167)</f>
        <v>1</v>
      </c>
      <c r="F167" s="26">
        <f>IF('Test Completo'!H167="","",'Test Completo'!H167)</f>
        <v>1.3</v>
      </c>
      <c r="G167" s="26">
        <f>IF('Test Completo'!L167="","",'Test Completo'!L167)</f>
        <v>9.74</v>
      </c>
      <c r="H167" s="26">
        <f>IF('Test Completo'!T167="","",'Test Completo'!T167)</f>
        <v>4.9000000000000004</v>
      </c>
      <c r="I167" s="2" t="str">
        <f>IF('Test Completo'!M167="","non eseguita",IF(N('Test Completo'!M167)=0,"timeout",IF(OR(N('Test Completo'!H167)&lt;0,N('Test Completo'!L167)&lt;0),"tempi negativi",IF(N('Test Completo'!I167)&lt;1,"NavMesh non attivato",IF(N('Test Completo'!T167)&gt;INDEX('Piano del test'!$N$5:$N$13,MATCH(B167,'Piano del test'!$A$5:$A$13,0)),"blocco al totem",IF(OR(N('Test Completo'!M167)&gt;'Piano del test'!$C$19,N('Test Completo'!H167)&gt;'Piano del test'!$C$20),"oltre le soglie","riuscita"))))))</f>
        <v>riuscita</v>
      </c>
      <c r="J167" s="27">
        <f t="shared" si="5"/>
        <v>28</v>
      </c>
    </row>
    <row r="168" spans="1:10" x14ac:dyDescent="0.45">
      <c r="A168" s="25">
        <f>'Test Completo'!A168</f>
        <v>1463</v>
      </c>
      <c r="B168" s="2" t="str">
        <f>IFERROR(INDEX('Piano del test'!$A$5:$A$13,MATCH('Test Completo'!B168&amp;"|"&amp;'Test Completo'!C168&amp;"|"&amp;'Test Completo'!D168&amp;"|"&amp;'Test Completo'!E168,'Piano del test'!$R$5:$R$13,0)),"?")</f>
        <v>T5</v>
      </c>
      <c r="C168" s="25">
        <f>'Test Completo'!G168</f>
        <v>22</v>
      </c>
      <c r="D168" s="26">
        <f>IF('Test Completo'!M168="","",'Test Completo'!M168)</f>
        <v>28.66</v>
      </c>
      <c r="E168" s="25">
        <f>IF('Test Completo'!I168="","",'Test Completo'!I168)</f>
        <v>1</v>
      </c>
      <c r="F168" s="26">
        <f>IF('Test Completo'!H168="","",'Test Completo'!H168)</f>
        <v>1.42</v>
      </c>
      <c r="G168" s="26">
        <f>IF('Test Completo'!L168="","",'Test Completo'!L168)</f>
        <v>9.74</v>
      </c>
      <c r="H168" s="26">
        <f>IF('Test Completo'!T168="","",'Test Completo'!T168)</f>
        <v>4.84</v>
      </c>
      <c r="I168" s="2" t="str">
        <f>IF('Test Completo'!M168="","non eseguita",IF(N('Test Completo'!M168)=0,"timeout",IF(OR(N('Test Completo'!H168)&lt;0,N('Test Completo'!L168)&lt;0),"tempi negativi",IF(N('Test Completo'!I168)&lt;1,"NavMesh non attivato",IF(N('Test Completo'!T168)&gt;INDEX('Piano del test'!$N$5:$N$13,MATCH(B168,'Piano del test'!$A$5:$A$13,0)),"blocco al totem",IF(OR(N('Test Completo'!M168)&gt;'Piano del test'!$C$19,N('Test Completo'!H168)&gt;'Piano del test'!$C$20),"oltre le soglie","riuscita"))))))</f>
        <v>riuscita</v>
      </c>
      <c r="J168" s="27">
        <f t="shared" si="5"/>
        <v>28.66</v>
      </c>
    </row>
    <row r="169" spans="1:10" x14ac:dyDescent="0.45">
      <c r="A169" s="25">
        <f>'Test Completo'!A169</f>
        <v>1464</v>
      </c>
      <c r="B169" s="2" t="str">
        <f>IFERROR(INDEX('Piano del test'!$A$5:$A$13,MATCH('Test Completo'!B169&amp;"|"&amp;'Test Completo'!C169&amp;"|"&amp;'Test Completo'!D169&amp;"|"&amp;'Test Completo'!E169,'Piano del test'!$R$5:$R$13,0)),"?")</f>
        <v>T6</v>
      </c>
      <c r="C169" s="25">
        <f>'Test Completo'!G169</f>
        <v>22</v>
      </c>
      <c r="D169" s="26">
        <f>IF('Test Completo'!M169="","",'Test Completo'!M169)</f>
        <v>28.24</v>
      </c>
      <c r="E169" s="25">
        <f>IF('Test Completo'!I169="","",'Test Completo'!I169)</f>
        <v>1</v>
      </c>
      <c r="F169" s="26">
        <f>IF('Test Completo'!H169="","",'Test Completo'!H169)</f>
        <v>3.36</v>
      </c>
      <c r="G169" s="26">
        <f>IF('Test Completo'!L169="","",'Test Completo'!L169)</f>
        <v>3.26</v>
      </c>
      <c r="H169" s="26">
        <f>IF('Test Completo'!T169="","",'Test Completo'!T169)</f>
        <v>0.94</v>
      </c>
      <c r="I169" s="2" t="str">
        <f>IF('Test Completo'!M169="","non eseguita",IF(N('Test Completo'!M169)=0,"timeout",IF(OR(N('Test Completo'!H169)&lt;0,N('Test Completo'!L169)&lt;0),"tempi negativi",IF(N('Test Completo'!I169)&lt;1,"NavMesh non attivato",IF(N('Test Completo'!T169)&gt;INDEX('Piano del test'!$N$5:$N$13,MATCH(B169,'Piano del test'!$A$5:$A$13,0)),"blocco al totem",IF(OR(N('Test Completo'!M169)&gt;'Piano del test'!$C$19,N('Test Completo'!H169)&gt;'Piano del test'!$C$20),"oltre le soglie","riuscita"))))))</f>
        <v>riuscita</v>
      </c>
      <c r="J169" s="27">
        <f t="shared" si="5"/>
        <v>28.24</v>
      </c>
    </row>
    <row r="170" spans="1:10" x14ac:dyDescent="0.45">
      <c r="A170" s="25">
        <f>'Test Completo'!A170</f>
        <v>1465</v>
      </c>
      <c r="B170" s="2" t="str">
        <f>IFERROR(INDEX('Piano del test'!$A$5:$A$13,MATCH('Test Completo'!B170&amp;"|"&amp;'Test Completo'!C170&amp;"|"&amp;'Test Completo'!D170&amp;"|"&amp;'Test Completo'!E170,'Piano del test'!$R$5:$R$13,0)),"?")</f>
        <v>T7</v>
      </c>
      <c r="C170" s="25">
        <f>'Test Completo'!G170</f>
        <v>22</v>
      </c>
      <c r="D170" s="26">
        <f>IF('Test Completo'!M170="","",'Test Completo'!M170)</f>
        <v>32.5</v>
      </c>
      <c r="E170" s="25">
        <f>IF('Test Completo'!I170="","",'Test Completo'!I170)</f>
        <v>1</v>
      </c>
      <c r="F170" s="26">
        <f>IF('Test Completo'!H170="","",'Test Completo'!H170)</f>
        <v>1.96</v>
      </c>
      <c r="G170" s="26">
        <f>IF('Test Completo'!L170="","",'Test Completo'!L170)</f>
        <v>9.6199999999999992</v>
      </c>
      <c r="H170" s="26">
        <f>IF('Test Completo'!T170="","",'Test Completo'!T170)</f>
        <v>4.82</v>
      </c>
      <c r="I170" s="2" t="str">
        <f>IF('Test Completo'!M170="","non eseguita",IF(N('Test Completo'!M170)=0,"timeout",IF(OR(N('Test Completo'!H170)&lt;0,N('Test Completo'!L170)&lt;0),"tempi negativi",IF(N('Test Completo'!I170)&lt;1,"NavMesh non attivato",IF(N('Test Completo'!T170)&gt;INDEX('Piano del test'!$N$5:$N$13,MATCH(B170,'Piano del test'!$A$5:$A$13,0)),"blocco al totem",IF(OR(N('Test Completo'!M170)&gt;'Piano del test'!$C$19,N('Test Completo'!H170)&gt;'Piano del test'!$C$20),"oltre le soglie","riuscita"))))))</f>
        <v>riuscita</v>
      </c>
      <c r="J170" s="27">
        <f t="shared" si="5"/>
        <v>32.5</v>
      </c>
    </row>
    <row r="171" spans="1:10" x14ac:dyDescent="0.45">
      <c r="A171" s="25">
        <f>'Test Completo'!A171</f>
        <v>1466</v>
      </c>
      <c r="B171" s="2" t="str">
        <f>IFERROR(INDEX('Piano del test'!$A$5:$A$13,MATCH('Test Completo'!B171&amp;"|"&amp;'Test Completo'!C171&amp;"|"&amp;'Test Completo'!D171&amp;"|"&amp;'Test Completo'!E171,'Piano del test'!$R$5:$R$13,0)),"?")</f>
        <v>T8</v>
      </c>
      <c r="C171" s="25">
        <f>'Test Completo'!G171</f>
        <v>22</v>
      </c>
      <c r="D171" s="26">
        <f>IF('Test Completo'!M171="","",'Test Completo'!M171)</f>
        <v>78.78</v>
      </c>
      <c r="E171" s="25">
        <f>IF('Test Completo'!I171="","",'Test Completo'!I171)</f>
        <v>1</v>
      </c>
      <c r="F171" s="26">
        <f>IF('Test Completo'!H171="","",'Test Completo'!H171)</f>
        <v>3.18</v>
      </c>
      <c r="G171" s="26">
        <f>IF('Test Completo'!L171="","",'Test Completo'!L171)</f>
        <v>55.42</v>
      </c>
      <c r="H171" s="26">
        <f>IF('Test Completo'!T171="","",'Test Completo'!T171)</f>
        <v>53.16</v>
      </c>
      <c r="I171" s="2" t="str">
        <f>IF('Test Completo'!M171="","non eseguita",IF(N('Test Completo'!M171)=0,"timeout",IF(OR(N('Test Completo'!H171)&lt;0,N('Test Completo'!L171)&lt;0),"tempi negativi",IF(N('Test Completo'!I171)&lt;1,"NavMesh non attivato",IF(N('Test Completo'!T171)&gt;INDEX('Piano del test'!$N$5:$N$13,MATCH(B171,'Piano del test'!$A$5:$A$13,0)),"blocco al totem",IF(OR(N('Test Completo'!M171)&gt;'Piano del test'!$C$19,N('Test Completo'!H171)&gt;'Piano del test'!$C$20),"oltre le soglie","riuscita"))))))</f>
        <v>blocco al totem</v>
      </c>
      <c r="J171" s="27">
        <f t="shared" si="5"/>
        <v>0</v>
      </c>
    </row>
    <row r="172" spans="1:10" x14ac:dyDescent="0.45">
      <c r="A172" s="25">
        <f>'Test Completo'!A172</f>
        <v>1467</v>
      </c>
      <c r="B172" s="2" t="str">
        <f>IFERROR(INDEX('Piano del test'!$A$5:$A$13,MATCH('Test Completo'!B172&amp;"|"&amp;'Test Completo'!C172&amp;"|"&amp;'Test Completo'!D172&amp;"|"&amp;'Test Completo'!E172,'Piano del test'!$R$5:$R$13,0)),"?")</f>
        <v>T9</v>
      </c>
      <c r="C172" s="25">
        <f>'Test Completo'!G172</f>
        <v>22</v>
      </c>
      <c r="D172" s="26">
        <f>IF('Test Completo'!M172="","",'Test Completo'!M172)</f>
        <v>31.5</v>
      </c>
      <c r="E172" s="25">
        <f>IF('Test Completo'!I172="","",'Test Completo'!I172)</f>
        <v>1</v>
      </c>
      <c r="F172" s="26">
        <f>IF('Test Completo'!H172="","",'Test Completo'!H172)</f>
        <v>1.78</v>
      </c>
      <c r="G172" s="26">
        <f>IF('Test Completo'!L172="","",'Test Completo'!L172)</f>
        <v>5.12</v>
      </c>
      <c r="H172" s="26">
        <f>IF('Test Completo'!T172="","",'Test Completo'!T172)</f>
        <v>2.14</v>
      </c>
      <c r="I172" s="2" t="str">
        <f>IF('Test Completo'!M172="","non eseguita",IF(N('Test Completo'!M172)=0,"timeout",IF(OR(N('Test Completo'!H172)&lt;0,N('Test Completo'!L172)&lt;0),"tempi negativi",IF(N('Test Completo'!I172)&lt;1,"NavMesh non attivato",IF(N('Test Completo'!T172)&gt;INDEX('Piano del test'!$N$5:$N$13,MATCH(B172,'Piano del test'!$A$5:$A$13,0)),"blocco al totem",IF(OR(N('Test Completo'!M172)&gt;'Piano del test'!$C$19,N('Test Completo'!H172)&gt;'Piano del test'!$C$20),"oltre le soglie","riuscita"))))))</f>
        <v>riuscita</v>
      </c>
      <c r="J172" s="27">
        <f t="shared" si="5"/>
        <v>31.5</v>
      </c>
    </row>
    <row r="173" spans="1:10" x14ac:dyDescent="0.45">
      <c r="A173" s="25">
        <f>'Test Completo'!A173</f>
        <v>1468</v>
      </c>
      <c r="B173" s="2" t="str">
        <f>IFERROR(INDEX('Piano del test'!$A$5:$A$13,MATCH('Test Completo'!B173&amp;"|"&amp;'Test Completo'!C173&amp;"|"&amp;'Test Completo'!D173&amp;"|"&amp;'Test Completo'!E173,'Piano del test'!$R$5:$R$13,0)),"?")</f>
        <v>T1</v>
      </c>
      <c r="C173" s="25">
        <f>'Test Completo'!G173</f>
        <v>23</v>
      </c>
      <c r="D173" s="26">
        <f>IF('Test Completo'!M173="","",'Test Completo'!M173)</f>
        <v>26.46</v>
      </c>
      <c r="E173" s="25">
        <f>IF('Test Completo'!I173="","",'Test Completo'!I173)</f>
        <v>1</v>
      </c>
      <c r="F173" s="26">
        <f>IF('Test Completo'!H173="","",'Test Completo'!H173)</f>
        <v>3.16</v>
      </c>
      <c r="G173" s="26">
        <f>IF('Test Completo'!L173="","",'Test Completo'!L173)</f>
        <v>3.32</v>
      </c>
      <c r="H173" s="26">
        <f>IF('Test Completo'!T173="","",'Test Completo'!T173)</f>
        <v>1.02</v>
      </c>
      <c r="I173" s="2" t="str">
        <f>IF('Test Completo'!M173="","non eseguita",IF(N('Test Completo'!M173)=0,"timeout",IF(OR(N('Test Completo'!H173)&lt;0,N('Test Completo'!L173)&lt;0),"tempi negativi",IF(N('Test Completo'!I173)&lt;1,"NavMesh non attivato",IF(N('Test Completo'!T173)&gt;INDEX('Piano del test'!$N$5:$N$13,MATCH(B173,'Piano del test'!$A$5:$A$13,0)),"blocco al totem",IF(OR(N('Test Completo'!M173)&gt;'Piano del test'!$C$19,N('Test Completo'!H173)&gt;'Piano del test'!$C$20),"oltre le soglie","riuscita"))))))</f>
        <v>riuscita</v>
      </c>
      <c r="J173" s="27">
        <f t="shared" si="5"/>
        <v>26.46</v>
      </c>
    </row>
    <row r="174" spans="1:10" x14ac:dyDescent="0.45">
      <c r="A174" s="25">
        <f>'Test Completo'!A174</f>
        <v>1469</v>
      </c>
      <c r="B174" s="2" t="str">
        <f>IFERROR(INDEX('Piano del test'!$A$5:$A$13,MATCH('Test Completo'!B174&amp;"|"&amp;'Test Completo'!C174&amp;"|"&amp;'Test Completo'!D174&amp;"|"&amp;'Test Completo'!E174,'Piano del test'!$R$5:$R$13,0)),"?")</f>
        <v>T2</v>
      </c>
      <c r="C174" s="25">
        <f>'Test Completo'!G174</f>
        <v>23</v>
      </c>
      <c r="D174" s="26">
        <f>IF('Test Completo'!M174="","",'Test Completo'!M174)</f>
        <v>33.08</v>
      </c>
      <c r="E174" s="25">
        <f>IF('Test Completo'!I174="","",'Test Completo'!I174)</f>
        <v>1</v>
      </c>
      <c r="F174" s="26">
        <f>IF('Test Completo'!H174="","",'Test Completo'!H174)</f>
        <v>3.32</v>
      </c>
      <c r="G174" s="26">
        <f>IF('Test Completo'!L174="","",'Test Completo'!L174)</f>
        <v>7.8</v>
      </c>
      <c r="H174" s="26">
        <f>IF('Test Completo'!T174="","",'Test Completo'!T174)</f>
        <v>5.56</v>
      </c>
      <c r="I174" s="2" t="str">
        <f>IF('Test Completo'!M174="","non eseguita",IF(N('Test Completo'!M174)=0,"timeout",IF(OR(N('Test Completo'!H174)&lt;0,N('Test Completo'!L174)&lt;0),"tempi negativi",IF(N('Test Completo'!I174)&lt;1,"NavMesh non attivato",IF(N('Test Completo'!T174)&gt;INDEX('Piano del test'!$N$5:$N$13,MATCH(B174,'Piano del test'!$A$5:$A$13,0)),"blocco al totem",IF(OR(N('Test Completo'!M174)&gt;'Piano del test'!$C$19,N('Test Completo'!H174)&gt;'Piano del test'!$C$20),"oltre le soglie","riuscita"))))))</f>
        <v>riuscita</v>
      </c>
      <c r="J174" s="27">
        <f t="shared" si="5"/>
        <v>33.08</v>
      </c>
    </row>
    <row r="175" spans="1:10" x14ac:dyDescent="0.45">
      <c r="A175" s="25">
        <f>'Test Completo'!A175</f>
        <v>1470</v>
      </c>
      <c r="B175" s="2" t="str">
        <f>IFERROR(INDEX('Piano del test'!$A$5:$A$13,MATCH('Test Completo'!B175&amp;"|"&amp;'Test Completo'!C175&amp;"|"&amp;'Test Completo'!D175&amp;"|"&amp;'Test Completo'!E175,'Piano del test'!$R$5:$R$13,0)),"?")</f>
        <v>T3</v>
      </c>
      <c r="C175" s="25">
        <f>'Test Completo'!G175</f>
        <v>23</v>
      </c>
      <c r="D175" s="26">
        <f>IF('Test Completo'!M175="","",'Test Completo'!M175)</f>
        <v>32.520000000000003</v>
      </c>
      <c r="E175" s="25">
        <f>IF('Test Completo'!I175="","",'Test Completo'!I175)</f>
        <v>1</v>
      </c>
      <c r="F175" s="26">
        <f>IF('Test Completo'!H175="","",'Test Completo'!H175)</f>
        <v>1.82</v>
      </c>
      <c r="G175" s="26">
        <f>IF('Test Completo'!L175="","",'Test Completo'!L175)</f>
        <v>9.64</v>
      </c>
      <c r="H175" s="26">
        <f>IF('Test Completo'!T175="","",'Test Completo'!T175)</f>
        <v>4.8</v>
      </c>
      <c r="I175" s="2" t="str">
        <f>IF('Test Completo'!M175="","non eseguita",IF(N('Test Completo'!M175)=0,"timeout",IF(OR(N('Test Completo'!H175)&lt;0,N('Test Completo'!L175)&lt;0),"tempi negativi",IF(N('Test Completo'!I175)&lt;1,"NavMesh non attivato",IF(N('Test Completo'!T175)&gt;INDEX('Piano del test'!$N$5:$N$13,MATCH(B175,'Piano del test'!$A$5:$A$13,0)),"blocco al totem",IF(OR(N('Test Completo'!M175)&gt;'Piano del test'!$C$19,N('Test Completo'!H175)&gt;'Piano del test'!$C$20),"oltre le soglie","riuscita"))))))</f>
        <v>riuscita</v>
      </c>
      <c r="J175" s="27">
        <f t="shared" si="5"/>
        <v>32.520000000000003</v>
      </c>
    </row>
    <row r="176" spans="1:10" x14ac:dyDescent="0.45">
      <c r="A176" s="25">
        <f>'Test Completo'!A176</f>
        <v>1471</v>
      </c>
      <c r="B176" s="2" t="str">
        <f>IFERROR(INDEX('Piano del test'!$A$5:$A$13,MATCH('Test Completo'!B176&amp;"|"&amp;'Test Completo'!C176&amp;"|"&amp;'Test Completo'!D176&amp;"|"&amp;'Test Completo'!E176,'Piano del test'!$R$5:$R$13,0)),"?")</f>
        <v>T4</v>
      </c>
      <c r="C176" s="25">
        <f>'Test Completo'!G176</f>
        <v>23</v>
      </c>
      <c r="D176" s="26">
        <f>IF('Test Completo'!M176="","",'Test Completo'!M176)</f>
        <v>91.2</v>
      </c>
      <c r="E176" s="25">
        <f>IF('Test Completo'!I176="","",'Test Completo'!I176)</f>
        <v>0</v>
      </c>
      <c r="F176" s="26">
        <f>IF('Test Completo'!H176="","",'Test Completo'!H176)</f>
        <v>-49.46</v>
      </c>
      <c r="G176" s="26">
        <f>IF('Test Completo'!L176="","",'Test Completo'!L176)</f>
        <v>50.96</v>
      </c>
      <c r="H176" s="26">
        <f>IF('Test Completo'!T176="","",'Test Completo'!T176)</f>
        <v>0</v>
      </c>
      <c r="I176" s="2" t="str">
        <f>IF('Test Completo'!M176="","non eseguita",IF(N('Test Completo'!M176)=0,"timeout",IF(OR(N('Test Completo'!H176)&lt;0,N('Test Completo'!L176)&lt;0),"tempi negativi",IF(N('Test Completo'!I176)&lt;1,"NavMesh non attivato",IF(N('Test Completo'!T176)&gt;INDEX('Piano del test'!$N$5:$N$13,MATCH(B176,'Piano del test'!$A$5:$A$13,0)),"blocco al totem",IF(OR(N('Test Completo'!M176)&gt;'Piano del test'!$C$19,N('Test Completo'!H176)&gt;'Piano del test'!$C$20),"oltre le soglie","riuscita"))))))</f>
        <v>tempi negativi</v>
      </c>
      <c r="J176" s="27">
        <f t="shared" si="5"/>
        <v>0</v>
      </c>
    </row>
    <row r="177" spans="1:10" x14ac:dyDescent="0.45">
      <c r="A177" s="25">
        <f>'Test Completo'!A177</f>
        <v>1472</v>
      </c>
      <c r="B177" s="2" t="str">
        <f>IFERROR(INDEX('Piano del test'!$A$5:$A$13,MATCH('Test Completo'!B177&amp;"|"&amp;'Test Completo'!C177&amp;"|"&amp;'Test Completo'!D177&amp;"|"&amp;'Test Completo'!E177,'Piano del test'!$R$5:$R$13,0)),"?")</f>
        <v>T5</v>
      </c>
      <c r="C177" s="25">
        <f>'Test Completo'!G177</f>
        <v>23</v>
      </c>
      <c r="D177" s="26">
        <f>IF('Test Completo'!M177="","",'Test Completo'!M177)</f>
        <v>37.24</v>
      </c>
      <c r="E177" s="25">
        <f>IF('Test Completo'!I177="","",'Test Completo'!I177)</f>
        <v>1</v>
      </c>
      <c r="F177" s="26">
        <f>IF('Test Completo'!H177="","",'Test Completo'!H177)</f>
        <v>2.66</v>
      </c>
      <c r="G177" s="26">
        <f>IF('Test Completo'!L177="","",'Test Completo'!L177)</f>
        <v>9.7200000000000006</v>
      </c>
      <c r="H177" s="26">
        <f>IF('Test Completo'!T177="","",'Test Completo'!T177)</f>
        <v>4.84</v>
      </c>
      <c r="I177" s="2" t="str">
        <f>IF('Test Completo'!M177="","non eseguita",IF(N('Test Completo'!M177)=0,"timeout",IF(OR(N('Test Completo'!H177)&lt;0,N('Test Completo'!L177)&lt;0),"tempi negativi",IF(N('Test Completo'!I177)&lt;1,"NavMesh non attivato",IF(N('Test Completo'!T177)&gt;INDEX('Piano del test'!$N$5:$N$13,MATCH(B177,'Piano del test'!$A$5:$A$13,0)),"blocco al totem",IF(OR(N('Test Completo'!M177)&gt;'Piano del test'!$C$19,N('Test Completo'!H177)&gt;'Piano del test'!$C$20),"oltre le soglie","riuscita"))))))</f>
        <v>riuscita</v>
      </c>
      <c r="J177" s="27">
        <f t="shared" si="5"/>
        <v>37.24</v>
      </c>
    </row>
    <row r="178" spans="1:10" x14ac:dyDescent="0.45">
      <c r="A178" s="25">
        <f>'Test Completo'!A178</f>
        <v>1473</v>
      </c>
      <c r="B178" s="2" t="str">
        <f>IFERROR(INDEX('Piano del test'!$A$5:$A$13,MATCH('Test Completo'!B178&amp;"|"&amp;'Test Completo'!C178&amp;"|"&amp;'Test Completo'!D178&amp;"|"&amp;'Test Completo'!E178,'Piano del test'!$R$5:$R$13,0)),"?")</f>
        <v>T6</v>
      </c>
      <c r="C178" s="25">
        <f>'Test Completo'!G178</f>
        <v>23</v>
      </c>
      <c r="D178" s="26">
        <f>IF('Test Completo'!M178="","",'Test Completo'!M178)</f>
        <v>30.9</v>
      </c>
      <c r="E178" s="25">
        <f>IF('Test Completo'!I178="","",'Test Completo'!I178)</f>
        <v>1</v>
      </c>
      <c r="F178" s="26">
        <f>IF('Test Completo'!H178="","",'Test Completo'!H178)</f>
        <v>3.2</v>
      </c>
      <c r="G178" s="26">
        <f>IF('Test Completo'!L178="","",'Test Completo'!L178)</f>
        <v>7.84</v>
      </c>
      <c r="H178" s="26">
        <f>IF('Test Completo'!T178="","",'Test Completo'!T178)</f>
        <v>5.62</v>
      </c>
      <c r="I178" s="2" t="str">
        <f>IF('Test Completo'!M178="","non eseguita",IF(N('Test Completo'!M178)=0,"timeout",IF(OR(N('Test Completo'!H178)&lt;0,N('Test Completo'!L178)&lt;0),"tempi negativi",IF(N('Test Completo'!I178)&lt;1,"NavMesh non attivato",IF(N('Test Completo'!T178)&gt;INDEX('Piano del test'!$N$5:$N$13,MATCH(B178,'Piano del test'!$A$5:$A$13,0)),"blocco al totem",IF(OR(N('Test Completo'!M178)&gt;'Piano del test'!$C$19,N('Test Completo'!H178)&gt;'Piano del test'!$C$20),"oltre le soglie","riuscita"))))))</f>
        <v>riuscita</v>
      </c>
      <c r="J178" s="27">
        <f t="shared" si="5"/>
        <v>30.9</v>
      </c>
    </row>
    <row r="179" spans="1:10" x14ac:dyDescent="0.45">
      <c r="A179" s="25">
        <f>'Test Completo'!A179</f>
        <v>1474</v>
      </c>
      <c r="B179" s="2" t="str">
        <f>IFERROR(INDEX('Piano del test'!$A$5:$A$13,MATCH('Test Completo'!B179&amp;"|"&amp;'Test Completo'!C179&amp;"|"&amp;'Test Completo'!D179&amp;"|"&amp;'Test Completo'!E179,'Piano del test'!$R$5:$R$13,0)),"?")</f>
        <v>T7</v>
      </c>
      <c r="C179" s="25">
        <f>'Test Completo'!G179</f>
        <v>23</v>
      </c>
      <c r="D179" s="26">
        <f>IF('Test Completo'!M179="","",'Test Completo'!M179)</f>
        <v>29.22</v>
      </c>
      <c r="E179" s="25">
        <f>IF('Test Completo'!I179="","",'Test Completo'!I179)</f>
        <v>1</v>
      </c>
      <c r="F179" s="26">
        <f>IF('Test Completo'!H179="","",'Test Completo'!H179)</f>
        <v>1.6</v>
      </c>
      <c r="G179" s="26">
        <f>IF('Test Completo'!L179="","",'Test Completo'!L179)</f>
        <v>9.66</v>
      </c>
      <c r="H179" s="26">
        <f>IF('Test Completo'!T179="","",'Test Completo'!T179)</f>
        <v>4.8</v>
      </c>
      <c r="I179" s="2" t="str">
        <f>IF('Test Completo'!M179="","non eseguita",IF(N('Test Completo'!M179)=0,"timeout",IF(OR(N('Test Completo'!H179)&lt;0,N('Test Completo'!L179)&lt;0),"tempi negativi",IF(N('Test Completo'!I179)&lt;1,"NavMesh non attivato",IF(N('Test Completo'!T179)&gt;INDEX('Piano del test'!$N$5:$N$13,MATCH(B179,'Piano del test'!$A$5:$A$13,0)),"blocco al totem",IF(OR(N('Test Completo'!M179)&gt;'Piano del test'!$C$19,N('Test Completo'!H179)&gt;'Piano del test'!$C$20),"oltre le soglie","riuscita"))))))</f>
        <v>riuscita</v>
      </c>
      <c r="J179" s="27">
        <f t="shared" si="5"/>
        <v>29.22</v>
      </c>
    </row>
    <row r="180" spans="1:10" x14ac:dyDescent="0.45">
      <c r="A180" s="25">
        <f>'Test Completo'!A180</f>
        <v>1475</v>
      </c>
      <c r="B180" s="2" t="str">
        <f>IFERROR(INDEX('Piano del test'!$A$5:$A$13,MATCH('Test Completo'!B180&amp;"|"&amp;'Test Completo'!C180&amp;"|"&amp;'Test Completo'!D180&amp;"|"&amp;'Test Completo'!E180,'Piano del test'!$R$5:$R$13,0)),"?")</f>
        <v>T8</v>
      </c>
      <c r="C180" s="25">
        <f>'Test Completo'!G180</f>
        <v>23</v>
      </c>
      <c r="D180" s="26">
        <f>IF('Test Completo'!M180="","",'Test Completo'!M180)</f>
        <v>29.28</v>
      </c>
      <c r="E180" s="25">
        <f>IF('Test Completo'!I180="","",'Test Completo'!I180)</f>
        <v>1</v>
      </c>
      <c r="F180" s="26">
        <f>IF('Test Completo'!H180="","",'Test Completo'!H180)</f>
        <v>3.84</v>
      </c>
      <c r="G180" s="26">
        <f>IF('Test Completo'!L180="","",'Test Completo'!L180)</f>
        <v>3.26</v>
      </c>
      <c r="H180" s="26">
        <f>IF('Test Completo'!T180="","",'Test Completo'!T180)</f>
        <v>1.04</v>
      </c>
      <c r="I180" s="2" t="str">
        <f>IF('Test Completo'!M180="","non eseguita",IF(N('Test Completo'!M180)=0,"timeout",IF(OR(N('Test Completo'!H180)&lt;0,N('Test Completo'!L180)&lt;0),"tempi negativi",IF(N('Test Completo'!I180)&lt;1,"NavMesh non attivato",IF(N('Test Completo'!T180)&gt;INDEX('Piano del test'!$N$5:$N$13,MATCH(B180,'Piano del test'!$A$5:$A$13,0)),"blocco al totem",IF(OR(N('Test Completo'!M180)&gt;'Piano del test'!$C$19,N('Test Completo'!H180)&gt;'Piano del test'!$C$20),"oltre le soglie","riuscita"))))))</f>
        <v>riuscita</v>
      </c>
      <c r="J180" s="27">
        <f t="shared" si="5"/>
        <v>29.28</v>
      </c>
    </row>
    <row r="181" spans="1:10" x14ac:dyDescent="0.45">
      <c r="A181" s="25">
        <f>'Test Completo'!A181</f>
        <v>1476</v>
      </c>
      <c r="B181" s="2" t="str">
        <f>IFERROR(INDEX('Piano del test'!$A$5:$A$13,MATCH('Test Completo'!B181&amp;"|"&amp;'Test Completo'!C181&amp;"|"&amp;'Test Completo'!D181&amp;"|"&amp;'Test Completo'!E181,'Piano del test'!$R$5:$R$13,0)),"?")</f>
        <v>T9</v>
      </c>
      <c r="C181" s="25">
        <f>'Test Completo'!G181</f>
        <v>23</v>
      </c>
      <c r="D181" s="26">
        <f>IF('Test Completo'!M181="","",'Test Completo'!M181)</f>
        <v>32.299999999999997</v>
      </c>
      <c r="E181" s="25">
        <f>IF('Test Completo'!I181="","",'Test Completo'!I181)</f>
        <v>1</v>
      </c>
      <c r="F181" s="26">
        <f>IF('Test Completo'!H181="","",'Test Completo'!H181)</f>
        <v>1.76</v>
      </c>
      <c r="G181" s="26">
        <f>IF('Test Completo'!L181="","",'Test Completo'!L181)</f>
        <v>5.18</v>
      </c>
      <c r="H181" s="26">
        <f>IF('Test Completo'!T181="","",'Test Completo'!T181)</f>
        <v>2.1</v>
      </c>
      <c r="I181" s="2" t="str">
        <f>IF('Test Completo'!M181="","non eseguita",IF(N('Test Completo'!M181)=0,"timeout",IF(OR(N('Test Completo'!H181)&lt;0,N('Test Completo'!L181)&lt;0),"tempi negativi",IF(N('Test Completo'!I181)&lt;1,"NavMesh non attivato",IF(N('Test Completo'!T181)&gt;INDEX('Piano del test'!$N$5:$N$13,MATCH(B181,'Piano del test'!$A$5:$A$13,0)),"blocco al totem",IF(OR(N('Test Completo'!M181)&gt;'Piano del test'!$C$19,N('Test Completo'!H181)&gt;'Piano del test'!$C$20),"oltre le soglie","riuscita"))))))</f>
        <v>riuscita</v>
      </c>
      <c r="J181" s="27">
        <f t="shared" si="5"/>
        <v>32.299999999999997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Test Completo</vt:lpstr>
      <vt:lpstr>Riepilogo</vt:lpstr>
      <vt:lpstr>Piano del test</vt:lpstr>
      <vt:lpstr>Calcolo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g.reaarnez@campus.unimib.it</cp:lastModifiedBy>
  <cp:revision>0</cp:revision>
  <dcterms:created xsi:type="dcterms:W3CDTF">2026-10-15T10:53:54Z</dcterms:created>
  <dcterms:modified xsi:type="dcterms:W3CDTF">2026-10-15T15:41:46Z</dcterms:modified>
  <dc:language>en-US</dc:language>
</cp:coreProperties>
</file>